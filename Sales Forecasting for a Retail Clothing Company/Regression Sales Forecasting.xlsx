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Users\w2012864\Documents\BA Coursework\Problem_3_Regression\"/>
    </mc:Choice>
  </mc:AlternateContent>
  <xr:revisionPtr revIDLastSave="0" documentId="13_ncr:1_{CE341D04-5540-4A42-A82D-C3CCE4A2F3D7}" xr6:coauthVersionLast="47" xr6:coauthVersionMax="47" xr10:uidLastSave="{00000000-0000-0000-0000-000000000000}"/>
  <bookViews>
    <workbookView xWindow="-110" yWindow="-110" windowWidth="19420" windowHeight="11620" activeTab="4" xr2:uid="{00000000-000D-0000-FFFF-FFFF00000000}"/>
  </bookViews>
  <sheets>
    <sheet name="Raw_Data" sheetId="1" r:id="rId1"/>
    <sheet name="Initial_Model" sheetId="2" r:id="rId2"/>
    <sheet name="Final_Model" sheetId="3" r:id="rId3"/>
    <sheet name="Diagnostics" sheetId="4" r:id="rId4"/>
    <sheet name="Predi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5" l="1"/>
  <c r="B13" i="5"/>
  <c r="B9" i="5"/>
  <c r="H24" i="1" l="1"/>
  <c r="E24" i="1"/>
  <c r="H23" i="1"/>
  <c r="E23" i="1"/>
  <c r="H22" i="1"/>
  <c r="E22" i="1"/>
  <c r="H21" i="1"/>
  <c r="E21" i="1"/>
  <c r="H20" i="1"/>
  <c r="E20" i="1"/>
  <c r="H19" i="1"/>
  <c r="E19" i="1"/>
  <c r="H18" i="1"/>
  <c r="E18" i="1"/>
  <c r="H17" i="1"/>
  <c r="E17" i="1"/>
  <c r="H16" i="1"/>
  <c r="E16" i="1"/>
  <c r="H15" i="1"/>
  <c r="E15" i="1"/>
  <c r="H14" i="1"/>
  <c r="E14" i="1"/>
  <c r="H13" i="1"/>
  <c r="E13" i="1"/>
  <c r="H12" i="1"/>
  <c r="E12" i="1"/>
  <c r="H11" i="1"/>
  <c r="E11" i="1"/>
  <c r="H10" i="1"/>
  <c r="E10" i="1"/>
  <c r="H9" i="1"/>
  <c r="E9" i="1"/>
  <c r="H8" i="1"/>
  <c r="E8" i="1"/>
  <c r="H7" i="1"/>
  <c r="E7" i="1"/>
  <c r="H6" i="1"/>
  <c r="E6" i="1"/>
  <c r="H5" i="1"/>
  <c r="E5" i="1"/>
  <c r="H4" i="1"/>
  <c r="E4" i="1"/>
  <c r="H3" i="1"/>
  <c r="E3" i="1"/>
  <c r="H2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Chris Albright</author>
  </authors>
  <commentList>
    <comment ref="B1" authorId="0" shapeId="0" xr:uid="{53E3F6D3-49C0-4D9C-81E6-C6A5426ABDD1}">
      <text>
        <r>
          <rPr>
            <b/>
            <sz val="8"/>
            <color indexed="81"/>
            <rFont val="Tahoma"/>
            <family val="2"/>
          </rPr>
          <t>Thousands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<sst xmlns="http://schemas.openxmlformats.org/spreadsheetml/2006/main" count="150" uniqueCount="45">
  <si>
    <t>Year</t>
  </si>
  <si>
    <t>Clothes sold</t>
  </si>
  <si>
    <t>Holiday Sales</t>
  </si>
  <si>
    <t>Economic Downturn/Recession</t>
  </si>
  <si>
    <t>Holiday Sales dummy</t>
  </si>
  <si>
    <t>Recession dummy</t>
  </si>
  <si>
    <t>No</t>
  </si>
  <si>
    <t>Yes</t>
  </si>
  <si>
    <t>Time_Trend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</si>
  <si>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</si>
  <si>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</si>
  <si>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</si>
  <si>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</si>
  <si>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</si>
  <si>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</si>
  <si>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</si>
  <si>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</si>
  <si>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</si>
  <si>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</si>
  <si>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</si>
  <si>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</si>
  <si>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</si>
  <si>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</si>
  <si>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</si>
  <si>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</si>
  <si>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</si>
  <si>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</si>
  <si>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</si>
  <si>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</si>
  <si>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</si>
  <si>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</si>
  <si>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</si>
  <si>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</si>
  <si>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</si>
  <si>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</si>
  <si>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Clothes sold</t>
  </si>
  <si>
    <t>Residuals</t>
  </si>
  <si>
    <t>Predicted Clothes Sold = (57.37417655) + (349.9583333 * Holiday Sales dummy) + (29.35770751 * Time_Trend)</t>
  </si>
  <si>
    <t xml:space="preserve">Clothes sales prediction equation </t>
  </si>
  <si>
    <t>Predicted Clothes Sold</t>
  </si>
  <si>
    <t>Predicted average sales for Year 24</t>
  </si>
  <si>
    <t>Z-score</t>
  </si>
  <si>
    <t xml:space="preserve">Sales Value = Predicted Mean Sales + (Z-score * Standard Error of Prediction) </t>
  </si>
  <si>
    <t>Standard Error of Prediction</t>
  </si>
  <si>
    <t>Sales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</si>
</sst>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0" fillId="0" borderId="0" xfId="0"/>
    <xf numFmtId="0" fontId="4" fillId="0" borderId="0" xfId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 applyAlignment="1">
      <alignment horizontal="left"/>
    </xf>
    <xf numFmtId="0" fontId="4" fillId="0" borderId="0" xfId="1" applyFont="1"/>
    <xf numFmtId="0" fontId="0" fillId="0" borderId="0" xfId="0" applyFill="1" applyBorder="1" applyAlignment="1"/>
    <xf numFmtId="0" fontId="0" fillId="0" borderId="1" xfId="0" applyFill="1" applyBorder="1" applyAlignment="1"/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Continuous"/>
    </xf>
    <xf numFmtId="0" fontId="1" fillId="0" borderId="0" xfId="0" applyFont="1"/>
    <xf numFmtId="0" fontId="7" fillId="0" borderId="0" xfId="0" applyFont="1"/>
    <xf numFmtId="0" fontId="0" fillId="0" borderId="0" xfId="0" applyFont="1"/>
  </cellXfs>
  <cellStyles count="2">
    <cellStyle name="Normal" xfId="0" builtinId="0" customBuiltin="1"/>
    <cellStyle name="Normal 2" xfId="1" xr:uid="{B56DB187-BEFF-46F2-9457-1D9846C3C2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Holiday Sales dummy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Raw_Data!$E$2:$E$24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</c:numCache>
            </c:numRef>
          </c:xVal>
          <c:yVal>
            <c:numRef>
              <c:f>Diagnostics!$C$23:$C$45</c:f>
              <c:numCache>
                <c:formatCode>General</c:formatCode>
                <c:ptCount val="23"/>
                <c:pt idx="0">
                  <c:v>12.268115942028842</c:v>
                </c:pt>
                <c:pt idx="1">
                  <c:v>-93.047924901185695</c:v>
                </c:pt>
                <c:pt idx="2">
                  <c:v>-58.447299077733987</c:v>
                </c:pt>
                <c:pt idx="3">
                  <c:v>238.19499341238458</c:v>
                </c:pt>
                <c:pt idx="4">
                  <c:v>-388.12104743083</c:v>
                </c:pt>
                <c:pt idx="5">
                  <c:v>63.479578392621761</c:v>
                </c:pt>
                <c:pt idx="6">
                  <c:v>-262.83646245059276</c:v>
                </c:pt>
                <c:pt idx="7">
                  <c:v>342.76416337285889</c:v>
                </c:pt>
                <c:pt idx="8">
                  <c:v>82.406455862977509</c:v>
                </c:pt>
                <c:pt idx="9">
                  <c:v>53.048748353096073</c:v>
                </c:pt>
                <c:pt idx="10">
                  <c:v>21.732707509881493</c:v>
                </c:pt>
                <c:pt idx="11">
                  <c:v>-335.66666666666674</c:v>
                </c:pt>
                <c:pt idx="12">
                  <c:v>-64.024374176548179</c:v>
                </c:pt>
                <c:pt idx="13">
                  <c:v>290.65958498023724</c:v>
                </c:pt>
                <c:pt idx="14">
                  <c:v>211.26021080368901</c:v>
                </c:pt>
                <c:pt idx="15">
                  <c:v>322.94416996047448</c:v>
                </c:pt>
                <c:pt idx="16">
                  <c:v>-326.45520421607387</c:v>
                </c:pt>
                <c:pt idx="17">
                  <c:v>306.18708827404475</c:v>
                </c:pt>
                <c:pt idx="18">
                  <c:v>-110.17061923583674</c:v>
                </c:pt>
                <c:pt idx="19">
                  <c:v>-294.48666007905126</c:v>
                </c:pt>
                <c:pt idx="20">
                  <c:v>403.15563241106736</c:v>
                </c:pt>
                <c:pt idx="21">
                  <c:v>-94.243741765480991</c:v>
                </c:pt>
                <c:pt idx="22">
                  <c:v>-320.60144927536237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A2-4514-806F-AC6591FDD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300496"/>
        <c:axId val="1599300976"/>
      </c:scatterChart>
      <c:valAx>
        <c:axId val="159930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Holiday Sales dummy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99300976"/>
        <c:crosses val="autoZero"/>
        <c:crossBetween val="midCat"/>
      </c:valAx>
      <c:valAx>
        <c:axId val="159930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9930049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Time_Trend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Raw_Data!$F$2:$F$24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xVal>
          <c:yVal>
            <c:numRef>
              <c:f>Diagnostics!$C$23:$C$45</c:f>
              <c:numCache>
                <c:formatCode>General</c:formatCode>
                <c:ptCount val="23"/>
                <c:pt idx="0">
                  <c:v>12.268115942028842</c:v>
                </c:pt>
                <c:pt idx="1">
                  <c:v>-93.047924901185695</c:v>
                </c:pt>
                <c:pt idx="2">
                  <c:v>-58.447299077733987</c:v>
                </c:pt>
                <c:pt idx="3">
                  <c:v>238.19499341238458</c:v>
                </c:pt>
                <c:pt idx="4">
                  <c:v>-388.12104743083</c:v>
                </c:pt>
                <c:pt idx="5">
                  <c:v>63.479578392621761</c:v>
                </c:pt>
                <c:pt idx="6">
                  <c:v>-262.83646245059276</c:v>
                </c:pt>
                <c:pt idx="7">
                  <c:v>342.76416337285889</c:v>
                </c:pt>
                <c:pt idx="8">
                  <c:v>82.406455862977509</c:v>
                </c:pt>
                <c:pt idx="9">
                  <c:v>53.048748353096073</c:v>
                </c:pt>
                <c:pt idx="10">
                  <c:v>21.732707509881493</c:v>
                </c:pt>
                <c:pt idx="11">
                  <c:v>-335.66666666666674</c:v>
                </c:pt>
                <c:pt idx="12">
                  <c:v>-64.024374176548179</c:v>
                </c:pt>
                <c:pt idx="13">
                  <c:v>290.65958498023724</c:v>
                </c:pt>
                <c:pt idx="14">
                  <c:v>211.26021080368901</c:v>
                </c:pt>
                <c:pt idx="15">
                  <c:v>322.94416996047448</c:v>
                </c:pt>
                <c:pt idx="16">
                  <c:v>-326.45520421607387</c:v>
                </c:pt>
                <c:pt idx="17">
                  <c:v>306.18708827404475</c:v>
                </c:pt>
                <c:pt idx="18">
                  <c:v>-110.17061923583674</c:v>
                </c:pt>
                <c:pt idx="19">
                  <c:v>-294.48666007905126</c:v>
                </c:pt>
                <c:pt idx="20">
                  <c:v>403.15563241106736</c:v>
                </c:pt>
                <c:pt idx="21">
                  <c:v>-94.243741765480991</c:v>
                </c:pt>
                <c:pt idx="22">
                  <c:v>-320.60144927536237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62-4960-AAF9-F0FD71328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9076288"/>
        <c:axId val="1309081568"/>
      </c:scatterChart>
      <c:valAx>
        <c:axId val="1309076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Time_Trend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9081568"/>
        <c:crosses val="autoZero"/>
        <c:crossBetween val="midCat"/>
      </c:valAx>
      <c:valAx>
        <c:axId val="13090815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907628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19</xdr:col>
      <xdr:colOff>12700</xdr:colOff>
      <xdr:row>26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F6B8BB-A68B-AE4A-45E6-6C3E3487B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596900</xdr:colOff>
      <xdr:row>1</xdr:row>
      <xdr:rowOff>0</xdr:rowOff>
    </xdr:from>
    <xdr:to>
      <xdr:col>29</xdr:col>
      <xdr:colOff>196850</xdr:colOff>
      <xdr:row>26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2D2799-8E0D-FD21-663C-FA33E4FAD3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opLeftCell="D1" workbookViewId="0">
      <selection activeCell="F2" sqref="F2:F24"/>
    </sheetView>
  </sheetViews>
  <sheetFormatPr defaultRowHeight="14.5" x14ac:dyDescent="0.35"/>
  <cols>
    <col min="1" max="1" width="4.54296875" bestFit="1" customWidth="1"/>
    <col min="2" max="2" width="10.90625" bestFit="1" customWidth="1"/>
    <col min="3" max="3" width="11.7265625" bestFit="1" customWidth="1"/>
    <col min="4" max="4" width="27.08984375" bestFit="1" customWidth="1"/>
    <col min="5" max="5" width="18.7265625" bestFit="1" customWidth="1"/>
    <col min="6" max="6" width="10.1796875" style="1" bestFit="1" customWidth="1"/>
    <col min="7" max="7" width="10.1796875" style="1" customWidth="1"/>
    <col min="8" max="8" width="15.90625" bestFit="1" customWidth="1"/>
  </cols>
  <sheetData>
    <row r="1" spans="1:8" x14ac:dyDescent="0.35">
      <c r="A1" s="2" t="s">
        <v>0</v>
      </c>
      <c r="B1" s="3" t="s">
        <v>1</v>
      </c>
      <c r="C1" s="4" t="s">
        <v>2</v>
      </c>
      <c r="D1" s="4" t="s">
        <v>3</v>
      </c>
      <c r="E1" s="2" t="s">
        <v>4</v>
      </c>
      <c r="F1" s="2" t="s">
        <v>8</v>
      </c>
      <c r="G1" s="2"/>
      <c r="H1" s="2" t="s">
        <v>5</v>
      </c>
    </row>
    <row r="2" spans="1:8" x14ac:dyDescent="0.35">
      <c r="A2" s="2">
        <v>1</v>
      </c>
      <c r="B2" s="5">
        <v>99</v>
      </c>
      <c r="C2" s="4" t="s">
        <v>6</v>
      </c>
      <c r="D2" s="4" t="s">
        <v>7</v>
      </c>
      <c r="E2" s="2">
        <f>IF(C2="Yes",1,0)</f>
        <v>0</v>
      </c>
      <c r="F2" s="2">
        <v>1</v>
      </c>
      <c r="G2" s="2"/>
      <c r="H2" s="2">
        <f>IF(D2="Yes",1,0)</f>
        <v>1</v>
      </c>
    </row>
    <row r="3" spans="1:8" x14ac:dyDescent="0.35">
      <c r="A3" s="2">
        <v>2</v>
      </c>
      <c r="B3" s="5">
        <v>373</v>
      </c>
      <c r="C3" s="4" t="s">
        <v>7</v>
      </c>
      <c r="D3" s="4" t="s">
        <v>7</v>
      </c>
      <c r="E3" s="2">
        <f t="shared" ref="E3:E24" si="0">IF(C3="Yes",1,0)</f>
        <v>1</v>
      </c>
      <c r="F3" s="2">
        <v>2</v>
      </c>
      <c r="G3" s="2"/>
      <c r="H3" s="2">
        <f>IF(D3="Yes",1,0)</f>
        <v>1</v>
      </c>
    </row>
    <row r="4" spans="1:8" x14ac:dyDescent="0.35">
      <c r="A4" s="2">
        <v>3</v>
      </c>
      <c r="B4" s="5">
        <v>87</v>
      </c>
      <c r="C4" s="4" t="s">
        <v>6</v>
      </c>
      <c r="D4" s="4" t="s">
        <v>7</v>
      </c>
      <c r="E4" s="2">
        <f t="shared" si="0"/>
        <v>0</v>
      </c>
      <c r="F4" s="2">
        <v>3</v>
      </c>
      <c r="G4" s="2"/>
      <c r="H4" s="2">
        <f>IF(D4="Yes",1,0)</f>
        <v>1</v>
      </c>
    </row>
    <row r="5" spans="1:8" x14ac:dyDescent="0.35">
      <c r="A5" s="2">
        <v>4</v>
      </c>
      <c r="B5" s="5">
        <v>413</v>
      </c>
      <c r="C5" s="4" t="s">
        <v>6</v>
      </c>
      <c r="D5" s="4" t="s">
        <v>6</v>
      </c>
      <c r="E5" s="2">
        <f t="shared" si="0"/>
        <v>0</v>
      </c>
      <c r="F5" s="2">
        <v>4</v>
      </c>
      <c r="G5" s="2"/>
      <c r="H5" s="2">
        <f>IF(D5="Yes",1,0)</f>
        <v>0</v>
      </c>
    </row>
    <row r="6" spans="1:8" x14ac:dyDescent="0.35">
      <c r="A6" s="2">
        <v>5</v>
      </c>
      <c r="B6" s="5">
        <v>166</v>
      </c>
      <c r="C6" s="4" t="s">
        <v>7</v>
      </c>
      <c r="D6" s="4" t="s">
        <v>7</v>
      </c>
      <c r="E6" s="2">
        <f t="shared" si="0"/>
        <v>1</v>
      </c>
      <c r="F6" s="2">
        <v>5</v>
      </c>
      <c r="G6" s="2"/>
      <c r="H6" s="2">
        <f>IF(D6="Yes",1,0)</f>
        <v>1</v>
      </c>
    </row>
    <row r="7" spans="1:8" x14ac:dyDescent="0.35">
      <c r="A7" s="2">
        <v>6</v>
      </c>
      <c r="B7" s="5">
        <v>297</v>
      </c>
      <c r="C7" s="4" t="s">
        <v>6</v>
      </c>
      <c r="D7" s="4" t="s">
        <v>6</v>
      </c>
      <c r="E7" s="2">
        <f t="shared" si="0"/>
        <v>0</v>
      </c>
      <c r="F7" s="2">
        <v>6</v>
      </c>
      <c r="G7" s="2"/>
      <c r="H7" s="2">
        <f>IF(D7="Yes",1,0)</f>
        <v>0</v>
      </c>
    </row>
    <row r="8" spans="1:8" x14ac:dyDescent="0.35">
      <c r="A8" s="2">
        <v>7</v>
      </c>
      <c r="B8" s="5">
        <v>350</v>
      </c>
      <c r="C8" s="4" t="s">
        <v>7</v>
      </c>
      <c r="D8" s="4" t="s">
        <v>7</v>
      </c>
      <c r="E8" s="2">
        <f t="shared" si="0"/>
        <v>1</v>
      </c>
      <c r="F8" s="2">
        <v>7</v>
      </c>
      <c r="G8" s="2"/>
      <c r="H8" s="2">
        <f>IF(D8="Yes",1,0)</f>
        <v>1</v>
      </c>
    </row>
    <row r="9" spans="1:8" x14ac:dyDescent="0.35">
      <c r="A9" s="2">
        <v>8</v>
      </c>
      <c r="B9" s="5">
        <v>635</v>
      </c>
      <c r="C9" s="4" t="s">
        <v>6</v>
      </c>
      <c r="D9" s="4" t="s">
        <v>7</v>
      </c>
      <c r="E9" s="2">
        <f t="shared" si="0"/>
        <v>0</v>
      </c>
      <c r="F9" s="2">
        <v>8</v>
      </c>
      <c r="G9" s="2"/>
      <c r="H9" s="2">
        <f>IF(D9="Yes",1,0)</f>
        <v>1</v>
      </c>
    </row>
    <row r="10" spans="1:8" x14ac:dyDescent="0.35">
      <c r="A10" s="2">
        <v>9</v>
      </c>
      <c r="B10" s="5">
        <v>404</v>
      </c>
      <c r="C10" s="4" t="s">
        <v>6</v>
      </c>
      <c r="D10" s="4" t="s">
        <v>7</v>
      </c>
      <c r="E10" s="2">
        <f t="shared" si="0"/>
        <v>0</v>
      </c>
      <c r="F10" s="2">
        <v>9</v>
      </c>
      <c r="G10" s="2"/>
      <c r="H10" s="2">
        <f>IF(D10="Yes",1,0)</f>
        <v>1</v>
      </c>
    </row>
    <row r="11" spans="1:8" x14ac:dyDescent="0.35">
      <c r="A11" s="2">
        <v>10</v>
      </c>
      <c r="B11" s="5">
        <v>404</v>
      </c>
      <c r="C11" s="4" t="s">
        <v>6</v>
      </c>
      <c r="D11" s="4" t="s">
        <v>6</v>
      </c>
      <c r="E11" s="2">
        <f t="shared" si="0"/>
        <v>0</v>
      </c>
      <c r="F11" s="2">
        <v>10</v>
      </c>
      <c r="G11" s="2"/>
      <c r="H11" s="2">
        <f>IF(D11="Yes",1,0)</f>
        <v>0</v>
      </c>
    </row>
    <row r="12" spans="1:8" x14ac:dyDescent="0.35">
      <c r="A12" s="2">
        <v>11</v>
      </c>
      <c r="B12" s="5">
        <v>752</v>
      </c>
      <c r="C12" s="4" t="s">
        <v>7</v>
      </c>
      <c r="D12" s="4" t="s">
        <v>6</v>
      </c>
      <c r="E12" s="2">
        <f t="shared" si="0"/>
        <v>1</v>
      </c>
      <c r="F12" s="2">
        <v>11</v>
      </c>
      <c r="G12" s="2"/>
      <c r="H12" s="2">
        <f>IF(D12="Yes",1,0)</f>
        <v>0</v>
      </c>
    </row>
    <row r="13" spans="1:8" x14ac:dyDescent="0.35">
      <c r="A13" s="2">
        <v>12</v>
      </c>
      <c r="B13" s="5">
        <v>74</v>
      </c>
      <c r="C13" s="4" t="s">
        <v>6</v>
      </c>
      <c r="D13" s="4" t="s">
        <v>6</v>
      </c>
      <c r="E13" s="2">
        <f t="shared" si="0"/>
        <v>0</v>
      </c>
      <c r="F13" s="2">
        <v>12</v>
      </c>
      <c r="G13" s="2"/>
      <c r="H13" s="2">
        <f>IF(D13="Yes",1,0)</f>
        <v>0</v>
      </c>
    </row>
    <row r="14" spans="1:8" x14ac:dyDescent="0.35">
      <c r="A14" s="2">
        <v>13</v>
      </c>
      <c r="B14" s="5">
        <v>375</v>
      </c>
      <c r="C14" s="4" t="s">
        <v>6</v>
      </c>
      <c r="D14" s="4" t="s">
        <v>7</v>
      </c>
      <c r="E14" s="2">
        <f t="shared" si="0"/>
        <v>0</v>
      </c>
      <c r="F14" s="2">
        <v>13</v>
      </c>
      <c r="G14" s="2"/>
      <c r="H14" s="2">
        <f>IF(D14="Yes",1,0)</f>
        <v>1</v>
      </c>
    </row>
    <row r="15" spans="1:8" x14ac:dyDescent="0.35">
      <c r="A15" s="2">
        <v>14</v>
      </c>
      <c r="B15" s="5">
        <v>1109</v>
      </c>
      <c r="C15" s="4" t="s">
        <v>7</v>
      </c>
      <c r="D15" s="4" t="s">
        <v>7</v>
      </c>
      <c r="E15" s="2">
        <f t="shared" si="0"/>
        <v>1</v>
      </c>
      <c r="F15" s="2">
        <v>14</v>
      </c>
      <c r="G15" s="2"/>
      <c r="H15" s="2">
        <f>IF(D15="Yes",1,0)</f>
        <v>1</v>
      </c>
    </row>
    <row r="16" spans="1:8" x14ac:dyDescent="0.35">
      <c r="A16" s="2">
        <v>15</v>
      </c>
      <c r="B16" s="5">
        <v>709</v>
      </c>
      <c r="C16" s="4" t="s">
        <v>6</v>
      </c>
      <c r="D16" s="4" t="s">
        <v>6</v>
      </c>
      <c r="E16" s="2">
        <f t="shared" si="0"/>
        <v>0</v>
      </c>
      <c r="F16" s="2">
        <v>15</v>
      </c>
      <c r="G16" s="2"/>
      <c r="H16" s="2">
        <f>IF(D16="Yes",1,0)</f>
        <v>0</v>
      </c>
    </row>
    <row r="17" spans="1:8" x14ac:dyDescent="0.35">
      <c r="A17" s="2">
        <v>16</v>
      </c>
      <c r="B17" s="5">
        <v>1200</v>
      </c>
      <c r="C17" s="4" t="s">
        <v>7</v>
      </c>
      <c r="D17" s="4" t="s">
        <v>6</v>
      </c>
      <c r="E17" s="2">
        <f t="shared" si="0"/>
        <v>1</v>
      </c>
      <c r="F17" s="2">
        <v>16</v>
      </c>
      <c r="G17" s="2"/>
      <c r="H17" s="2">
        <f>IF(D17="Yes",1,0)</f>
        <v>0</v>
      </c>
    </row>
    <row r="18" spans="1:8" x14ac:dyDescent="0.35">
      <c r="A18" s="2">
        <v>17</v>
      </c>
      <c r="B18" s="5">
        <v>230</v>
      </c>
      <c r="C18" s="4" t="s">
        <v>6</v>
      </c>
      <c r="D18" s="4" t="s">
        <v>7</v>
      </c>
      <c r="E18" s="2">
        <f t="shared" si="0"/>
        <v>0</v>
      </c>
      <c r="F18" s="2">
        <v>17</v>
      </c>
      <c r="G18" s="2"/>
      <c r="H18" s="2">
        <f>IF(D18="Yes",1,0)</f>
        <v>1</v>
      </c>
    </row>
    <row r="19" spans="1:8" x14ac:dyDescent="0.35">
      <c r="A19" s="2">
        <v>18</v>
      </c>
      <c r="B19" s="5">
        <v>892</v>
      </c>
      <c r="C19" s="4" t="s">
        <v>6</v>
      </c>
      <c r="D19" s="4" t="s">
        <v>6</v>
      </c>
      <c r="E19" s="2">
        <f t="shared" si="0"/>
        <v>0</v>
      </c>
      <c r="F19" s="2">
        <v>18</v>
      </c>
      <c r="G19" s="2"/>
      <c r="H19" s="2">
        <f>IF(D19="Yes",1,0)</f>
        <v>0</v>
      </c>
    </row>
    <row r="20" spans="1:8" x14ac:dyDescent="0.35">
      <c r="A20" s="2">
        <v>19</v>
      </c>
      <c r="B20" s="5">
        <v>505</v>
      </c>
      <c r="C20" s="4" t="s">
        <v>6</v>
      </c>
      <c r="D20" s="4" t="s">
        <v>7</v>
      </c>
      <c r="E20" s="2">
        <f t="shared" si="0"/>
        <v>0</v>
      </c>
      <c r="F20" s="2">
        <v>19</v>
      </c>
      <c r="G20" s="2"/>
      <c r="H20" s="2">
        <f>IF(D20="Yes",1,0)</f>
        <v>1</v>
      </c>
    </row>
    <row r="21" spans="1:8" x14ac:dyDescent="0.35">
      <c r="A21" s="2">
        <v>20</v>
      </c>
      <c r="B21" s="5">
        <v>700</v>
      </c>
      <c r="C21" s="4" t="s">
        <v>7</v>
      </c>
      <c r="D21" s="4" t="s">
        <v>6</v>
      </c>
      <c r="E21" s="2">
        <f t="shared" si="0"/>
        <v>1</v>
      </c>
      <c r="F21" s="2">
        <v>20</v>
      </c>
      <c r="G21" s="2"/>
      <c r="H21" s="2">
        <f>IF(D21="Yes",1,0)</f>
        <v>0</v>
      </c>
    </row>
    <row r="22" spans="1:8" x14ac:dyDescent="0.35">
      <c r="A22" s="2">
        <v>21</v>
      </c>
      <c r="B22" s="5">
        <v>1427</v>
      </c>
      <c r="C22" s="4" t="s">
        <v>7</v>
      </c>
      <c r="D22" s="4" t="s">
        <v>7</v>
      </c>
      <c r="E22" s="2">
        <f t="shared" si="0"/>
        <v>1</v>
      </c>
      <c r="F22" s="2">
        <v>21</v>
      </c>
      <c r="G22" s="2"/>
      <c r="H22" s="2">
        <f>IF(D22="Yes",1,0)</f>
        <v>1</v>
      </c>
    </row>
    <row r="23" spans="1:8" x14ac:dyDescent="0.35">
      <c r="A23" s="2">
        <v>22</v>
      </c>
      <c r="B23" s="5">
        <v>609</v>
      </c>
      <c r="C23" s="4" t="s">
        <v>6</v>
      </c>
      <c r="D23" s="4" t="s">
        <v>6</v>
      </c>
      <c r="E23" s="2">
        <f t="shared" si="0"/>
        <v>0</v>
      </c>
      <c r="F23" s="2">
        <v>22</v>
      </c>
      <c r="G23" s="2"/>
      <c r="H23" s="2">
        <f>IF(D23="Yes",1,0)</f>
        <v>0</v>
      </c>
    </row>
    <row r="24" spans="1:8" x14ac:dyDescent="0.35">
      <c r="A24" s="2">
        <v>23</v>
      </c>
      <c r="B24" s="5">
        <v>412</v>
      </c>
      <c r="C24" s="4" t="s">
        <v>6</v>
      </c>
      <c r="D24" s="4" t="s">
        <v>7</v>
      </c>
      <c r="E24" s="2">
        <f t="shared" si="0"/>
        <v>0</v>
      </c>
      <c r="F24" s="2">
        <v>23</v>
      </c>
      <c r="G24" s="2"/>
      <c r="H24" s="2">
        <f>IF(D24="Yes",1,0)</f>
        <v>1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topLeftCell="A4" workbookViewId="0">
      <selection activeCell="E4" sqref="E1:E1048576"/>
    </sheetView>
  </sheetViews>
  <sheetFormatPr defaultRowHeight="14.5" x14ac:dyDescent="0.35"/>
  <cols>
    <col min="1" max="1" width="18.7265625" bestFit="1" customWidth="1"/>
    <col min="2" max="2" width="12.453125" bestFit="1" customWidth="1"/>
    <col min="3" max="3" width="13.54296875" bestFit="1" customWidth="1"/>
    <col min="4" max="4" width="12.453125" bestFit="1" customWidth="1"/>
    <col min="5" max="5" width="11.81640625" bestFit="1" customWidth="1"/>
    <col min="6" max="6" width="12.453125" bestFit="1" customWidth="1"/>
    <col min="7" max="7" width="11.81640625" bestFit="1" customWidth="1"/>
    <col min="8" max="8" width="12.453125" bestFit="1" customWidth="1"/>
    <col min="9" max="9" width="12" bestFit="1" customWidth="1"/>
  </cols>
  <sheetData>
    <row r="1" spans="1:9" x14ac:dyDescent="0.35">
      <c r="A1" t="s">
        <v>9</v>
      </c>
    </row>
    <row r="2" spans="1:9" ht="15" thickBot="1" x14ac:dyDescent="0.4"/>
    <row r="3" spans="1:9" x14ac:dyDescent="0.35">
      <c r="A3" s="9" t="s">
        <v>10</v>
      </c>
      <c r="B3" s="9"/>
    </row>
    <row r="4" spans="1:9" x14ac:dyDescent="0.35">
      <c r="A4" s="6" t="s">
        <v>11</v>
      </c>
      <c r="B4" s="6">
        <v>0.73823845786270048</v>
      </c>
    </row>
    <row r="5" spans="1:9" x14ac:dyDescent="0.35">
      <c r="A5" s="6" t="s">
        <v>12</v>
      </c>
      <c r="B5" s="6">
        <v>0.54499602066749819</v>
      </c>
    </row>
    <row r="6" spans="1:9" x14ac:dyDescent="0.35">
      <c r="A6" s="6" t="s">
        <v>13</v>
      </c>
      <c r="B6" s="6">
        <v>0.4731532870886821</v>
      </c>
    </row>
    <row r="7" spans="1:9" x14ac:dyDescent="0.35">
      <c r="A7" s="6" t="s">
        <v>14</v>
      </c>
      <c r="B7" s="6">
        <v>261.47884122350661</v>
      </c>
    </row>
    <row r="8" spans="1:9" ht="15" thickBot="1" x14ac:dyDescent="0.4">
      <c r="A8" s="7" t="s">
        <v>15</v>
      </c>
      <c r="B8" s="7">
        <v>23</v>
      </c>
    </row>
    <row r="10" spans="1:9" ht="15" thickBot="1" x14ac:dyDescent="0.4">
      <c r="A10" t="s">
        <v>16</v>
      </c>
    </row>
    <row r="11" spans="1:9" x14ac:dyDescent="0.35">
      <c r="A11" s="8"/>
      <c r="B11" s="8" t="s">
        <v>21</v>
      </c>
      <c r="C11" s="8" t="s">
        <v>22</v>
      </c>
      <c r="D11" s="8" t="s">
        <v>23</v>
      </c>
      <c r="E11" s="8" t="s">
        <v>24</v>
      </c>
      <c r="F11" s="8" t="s">
        <v>25</v>
      </c>
    </row>
    <row r="12" spans="1:9" x14ac:dyDescent="0.35">
      <c r="A12" s="6" t="s">
        <v>17</v>
      </c>
      <c r="B12" s="6">
        <v>3</v>
      </c>
      <c r="C12" s="6">
        <v>1555982.9745167012</v>
      </c>
      <c r="D12" s="6">
        <v>518660.99150556704</v>
      </c>
      <c r="E12" s="6">
        <v>7.5859588509337916</v>
      </c>
      <c r="F12" s="6">
        <v>1.561720790392985E-3</v>
      </c>
    </row>
    <row r="13" spans="1:9" x14ac:dyDescent="0.35">
      <c r="A13" s="6" t="s">
        <v>18</v>
      </c>
      <c r="B13" s="6">
        <v>19</v>
      </c>
      <c r="C13" s="6">
        <v>1299052.503744168</v>
      </c>
      <c r="D13" s="6">
        <v>68371.184407587789</v>
      </c>
      <c r="E13" s="6"/>
      <c r="F13" s="6"/>
    </row>
    <row r="14" spans="1:9" ht="15" thickBot="1" x14ac:dyDescent="0.4">
      <c r="A14" s="7" t="s">
        <v>19</v>
      </c>
      <c r="B14" s="7">
        <v>22</v>
      </c>
      <c r="C14" s="7">
        <v>2855035.4782608692</v>
      </c>
      <c r="D14" s="7"/>
      <c r="E14" s="7"/>
      <c r="F14" s="7"/>
    </row>
    <row r="15" spans="1:9" ht="15" thickBot="1" x14ac:dyDescent="0.4"/>
    <row r="16" spans="1:9" x14ac:dyDescent="0.35">
      <c r="A16" s="8"/>
      <c r="B16" s="8" t="s">
        <v>26</v>
      </c>
      <c r="C16" s="8" t="s">
        <v>14</v>
      </c>
      <c r="D16" s="8" t="s">
        <v>27</v>
      </c>
      <c r="E16" s="8" t="s">
        <v>28</v>
      </c>
      <c r="F16" s="8" t="s">
        <v>29</v>
      </c>
      <c r="G16" s="8" t="s">
        <v>30</v>
      </c>
      <c r="H16" s="8" t="s">
        <v>31</v>
      </c>
      <c r="I16" s="8" t="s">
        <v>32</v>
      </c>
    </row>
    <row r="17" spans="1:9" x14ac:dyDescent="0.35">
      <c r="A17" s="6" t="s">
        <v>20</v>
      </c>
      <c r="B17" s="6">
        <v>120.97762624019867</v>
      </c>
      <c r="C17" s="6">
        <v>143.04685457569391</v>
      </c>
      <c r="D17" s="6">
        <v>0.84572028234415175</v>
      </c>
      <c r="E17" s="6">
        <v>0.40823380413466304</v>
      </c>
      <c r="F17" s="6">
        <v>-178.42288129417608</v>
      </c>
      <c r="G17" s="6">
        <v>420.37813377457343</v>
      </c>
      <c r="H17" s="6">
        <v>-178.42288129417608</v>
      </c>
      <c r="I17" s="6">
        <v>420.37813377457343</v>
      </c>
    </row>
    <row r="18" spans="1:9" x14ac:dyDescent="0.35">
      <c r="A18" s="6" t="s">
        <v>4</v>
      </c>
      <c r="B18" s="6">
        <v>358.29520223372606</v>
      </c>
      <c r="C18" s="6">
        <v>114.93728446225344</v>
      </c>
      <c r="D18" s="6">
        <v>3.1173104872805117</v>
      </c>
      <c r="E18" s="6">
        <v>5.6718821356131393E-3</v>
      </c>
      <c r="F18" s="6">
        <v>117.72870110585913</v>
      </c>
      <c r="G18" s="6">
        <v>598.86170336159296</v>
      </c>
      <c r="H18" s="6">
        <v>117.72870110585913</v>
      </c>
      <c r="I18" s="6">
        <v>598.86170336159296</v>
      </c>
    </row>
    <row r="19" spans="1:9" x14ac:dyDescent="0.35">
      <c r="A19" s="6" t="s">
        <v>5</v>
      </c>
      <c r="B19" s="6">
        <v>-90.947660731557448</v>
      </c>
      <c r="C19" s="6">
        <v>112.37017532746265</v>
      </c>
      <c r="D19" s="6">
        <v>-0.80935764731631898</v>
      </c>
      <c r="E19" s="6">
        <v>0.42832932650355399</v>
      </c>
      <c r="F19" s="6">
        <v>-326.14114069001596</v>
      </c>
      <c r="G19" s="6">
        <v>144.24581922690103</v>
      </c>
      <c r="H19" s="6">
        <v>-326.14114069001596</v>
      </c>
      <c r="I19" s="6">
        <v>144.24581922690103</v>
      </c>
    </row>
    <row r="20" spans="1:9" ht="15" thickBot="1" x14ac:dyDescent="0.4">
      <c r="A20" s="7" t="s">
        <v>8</v>
      </c>
      <c r="B20" s="7">
        <v>28.099538290274893</v>
      </c>
      <c r="C20" s="7">
        <v>8.3652266297976912</v>
      </c>
      <c r="D20" s="7">
        <v>3.3590887054012146</v>
      </c>
      <c r="E20" s="7">
        <v>3.2955194333811593E-3</v>
      </c>
      <c r="F20" s="7">
        <v>10.59091773353137</v>
      </c>
      <c r="G20" s="7">
        <v>45.608158847018416</v>
      </c>
      <c r="H20" s="7">
        <v>10.59091773353137</v>
      </c>
      <c r="I20" s="7">
        <v>45.608158847018416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workbookViewId="0">
      <selection activeCell="B7" sqref="B7"/>
    </sheetView>
  </sheetViews>
  <sheetFormatPr defaultRowHeight="14.5" x14ac:dyDescent="0.35"/>
  <cols>
    <col min="1" max="1" width="18.7265625" bestFit="1" customWidth="1"/>
    <col min="2" max="2" width="11.81640625" bestFit="1" customWidth="1"/>
    <col min="3" max="3" width="13.54296875" bestFit="1" customWidth="1"/>
    <col min="4" max="5" width="11.81640625" bestFit="1" customWidth="1"/>
    <col min="6" max="6" width="12.453125" bestFit="1" customWidth="1"/>
    <col min="7" max="7" width="11.81640625" bestFit="1" customWidth="1"/>
    <col min="8" max="8" width="12.453125" bestFit="1" customWidth="1"/>
    <col min="9" max="9" width="12" bestFit="1" customWidth="1"/>
  </cols>
  <sheetData>
    <row r="1" spans="1:9" x14ac:dyDescent="0.35">
      <c r="A1" t="s">
        <v>9</v>
      </c>
    </row>
    <row r="2" spans="1:9" ht="15" thickBot="1" x14ac:dyDescent="0.4"/>
    <row r="3" spans="1:9" x14ac:dyDescent="0.35">
      <c r="A3" s="9" t="s">
        <v>10</v>
      </c>
      <c r="B3" s="9"/>
    </row>
    <row r="4" spans="1:9" x14ac:dyDescent="0.35">
      <c r="A4" s="6" t="s">
        <v>11</v>
      </c>
      <c r="B4" s="6">
        <v>0.72753620189919177</v>
      </c>
    </row>
    <row r="5" spans="1:9" x14ac:dyDescent="0.35">
      <c r="A5" s="6" t="s">
        <v>12</v>
      </c>
      <c r="B5" s="6">
        <v>0.52930892507390148</v>
      </c>
    </row>
    <row r="6" spans="1:9" x14ac:dyDescent="0.35">
      <c r="A6" s="6" t="s">
        <v>13</v>
      </c>
      <c r="B6" s="6">
        <v>0.48223981758129159</v>
      </c>
    </row>
    <row r="7" spans="1:9" x14ac:dyDescent="0.35">
      <c r="A7" s="6" t="s">
        <v>14</v>
      </c>
      <c r="B7" s="6">
        <v>259.21416996518099</v>
      </c>
    </row>
    <row r="8" spans="1:9" ht="15" thickBot="1" x14ac:dyDescent="0.4">
      <c r="A8" s="7" t="s">
        <v>15</v>
      </c>
      <c r="B8" s="7">
        <v>23</v>
      </c>
    </row>
    <row r="10" spans="1:9" ht="15" thickBot="1" x14ac:dyDescent="0.4">
      <c r="A10" t="s">
        <v>16</v>
      </c>
    </row>
    <row r="11" spans="1:9" x14ac:dyDescent="0.35">
      <c r="A11" s="8"/>
      <c r="B11" s="8" t="s">
        <v>21</v>
      </c>
      <c r="C11" s="8" t="s">
        <v>22</v>
      </c>
      <c r="D11" s="8" t="s">
        <v>23</v>
      </c>
      <c r="E11" s="8" t="s">
        <v>24</v>
      </c>
      <c r="F11" s="8" t="s">
        <v>25</v>
      </c>
    </row>
    <row r="12" spans="1:9" x14ac:dyDescent="0.35">
      <c r="A12" s="6" t="s">
        <v>17</v>
      </c>
      <c r="B12" s="6">
        <v>2</v>
      </c>
      <c r="C12" s="6">
        <v>1511195.7600461128</v>
      </c>
      <c r="D12" s="6">
        <v>755597.88002305641</v>
      </c>
      <c r="E12" s="6">
        <v>11.245357162487227</v>
      </c>
      <c r="F12" s="6">
        <v>5.3377672717879929E-4</v>
      </c>
    </row>
    <row r="13" spans="1:9" x14ac:dyDescent="0.35">
      <c r="A13" s="6" t="s">
        <v>18</v>
      </c>
      <c r="B13" s="6">
        <v>20</v>
      </c>
      <c r="C13" s="6">
        <v>1343839.7182147563</v>
      </c>
      <c r="D13" s="6">
        <v>67191.985910737814</v>
      </c>
      <c r="E13" s="6"/>
      <c r="F13" s="6"/>
    </row>
    <row r="14" spans="1:9" ht="15" thickBot="1" x14ac:dyDescent="0.4">
      <c r="A14" s="7" t="s">
        <v>19</v>
      </c>
      <c r="B14" s="7">
        <v>22</v>
      </c>
      <c r="C14" s="7">
        <v>2855035.4782608692</v>
      </c>
      <c r="D14" s="7"/>
      <c r="E14" s="7"/>
      <c r="F14" s="7"/>
    </row>
    <row r="15" spans="1:9" ht="15" thickBot="1" x14ac:dyDescent="0.4"/>
    <row r="16" spans="1:9" x14ac:dyDescent="0.35">
      <c r="A16" s="8"/>
      <c r="B16" s="8" t="s">
        <v>26</v>
      </c>
      <c r="C16" s="8" t="s">
        <v>14</v>
      </c>
      <c r="D16" s="8" t="s">
        <v>27</v>
      </c>
      <c r="E16" s="8" t="s">
        <v>28</v>
      </c>
      <c r="F16" s="8" t="s">
        <v>29</v>
      </c>
      <c r="G16" s="8" t="s">
        <v>30</v>
      </c>
      <c r="H16" s="8" t="s">
        <v>31</v>
      </c>
      <c r="I16" s="8" t="s">
        <v>32</v>
      </c>
    </row>
    <row r="17" spans="1:9" x14ac:dyDescent="0.35">
      <c r="A17" s="6" t="s">
        <v>20</v>
      </c>
      <c r="B17" s="6">
        <v>57.3741765480897</v>
      </c>
      <c r="C17" s="6">
        <v>118.49211247434891</v>
      </c>
      <c r="D17" s="6">
        <v>0.48420249542356714</v>
      </c>
      <c r="E17" s="6">
        <v>0.63350207661516533</v>
      </c>
      <c r="F17" s="6">
        <v>-189.79603886271769</v>
      </c>
      <c r="G17" s="6">
        <v>304.54439195889717</v>
      </c>
      <c r="H17" s="6">
        <v>-189.79603886271769</v>
      </c>
      <c r="I17" s="6">
        <v>304.54439195889717</v>
      </c>
    </row>
    <row r="18" spans="1:9" x14ac:dyDescent="0.35">
      <c r="A18" s="6" t="s">
        <v>4</v>
      </c>
      <c r="B18" s="6">
        <v>349.95833333333297</v>
      </c>
      <c r="C18" s="6">
        <v>113.48332021149517</v>
      </c>
      <c r="D18" s="6">
        <v>3.0837865219410854</v>
      </c>
      <c r="E18" s="6">
        <v>5.856157854420954E-3</v>
      </c>
      <c r="F18" s="6">
        <v>113.23627549778669</v>
      </c>
      <c r="G18" s="6">
        <v>586.68039116887962</v>
      </c>
      <c r="H18" s="6">
        <v>113.23627549778669</v>
      </c>
      <c r="I18" s="6">
        <v>586.68039116887962</v>
      </c>
    </row>
    <row r="19" spans="1:9" ht="15" thickBot="1" x14ac:dyDescent="0.4">
      <c r="A19" s="7" t="s">
        <v>8</v>
      </c>
      <c r="B19" s="7">
        <v>29.357707509881401</v>
      </c>
      <c r="C19" s="7">
        <v>8.1483276195057481</v>
      </c>
      <c r="D19" s="7">
        <v>3.6029120183636119</v>
      </c>
      <c r="E19" s="7">
        <v>1.776285878355424E-3</v>
      </c>
      <c r="F19" s="7">
        <v>12.36059393924555</v>
      </c>
      <c r="G19" s="7">
        <v>46.354821080517283</v>
      </c>
      <c r="H19" s="7">
        <v>12.36059393924555</v>
      </c>
      <c r="I19" s="7">
        <v>46.354821080517283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topLeftCell="J1" workbookViewId="0">
      <selection activeCell="D3" sqref="D3"/>
    </sheetView>
  </sheetViews>
  <sheetFormatPr defaultRowHeight="14.5" x14ac:dyDescent="0.35"/>
  <cols>
    <col min="1" max="1" width="18.7265625" bestFit="1" customWidth="1"/>
    <col min="2" max="2" width="19.54296875" bestFit="1" customWidth="1"/>
    <col min="3" max="3" width="13.54296875" bestFit="1" customWidth="1"/>
    <col min="4" max="5" width="11.81640625" bestFit="1" customWidth="1"/>
    <col min="6" max="6" width="12.453125" bestFit="1" customWidth="1"/>
    <col min="7" max="7" width="11.81640625" bestFit="1" customWidth="1"/>
    <col min="8" max="8" width="12.453125" bestFit="1" customWidth="1"/>
    <col min="9" max="9" width="12" bestFit="1" customWidth="1"/>
  </cols>
  <sheetData>
    <row r="1" spans="1:9" x14ac:dyDescent="0.35">
      <c r="A1" s="10" t="s">
        <v>9</v>
      </c>
    </row>
    <row r="2" spans="1:9" ht="15" thickBot="1" x14ac:dyDescent="0.4"/>
    <row r="3" spans="1:9" x14ac:dyDescent="0.35">
      <c r="A3" s="9" t="s">
        <v>10</v>
      </c>
      <c r="B3" s="9"/>
    </row>
    <row r="4" spans="1:9" x14ac:dyDescent="0.35">
      <c r="A4" s="6" t="s">
        <v>11</v>
      </c>
      <c r="B4" s="6">
        <v>0.72753620189919177</v>
      </c>
    </row>
    <row r="5" spans="1:9" x14ac:dyDescent="0.35">
      <c r="A5" s="6" t="s">
        <v>12</v>
      </c>
      <c r="B5" s="6">
        <v>0.52930892507390148</v>
      </c>
    </row>
    <row r="6" spans="1:9" x14ac:dyDescent="0.35">
      <c r="A6" s="6" t="s">
        <v>13</v>
      </c>
      <c r="B6" s="6">
        <v>0.48223981758129159</v>
      </c>
    </row>
    <row r="7" spans="1:9" x14ac:dyDescent="0.35">
      <c r="A7" s="6" t="s">
        <v>14</v>
      </c>
      <c r="B7" s="6">
        <v>259.21416996518116</v>
      </c>
    </row>
    <row r="8" spans="1:9" ht="15" thickBot="1" x14ac:dyDescent="0.4">
      <c r="A8" s="7" t="s">
        <v>15</v>
      </c>
      <c r="B8" s="7">
        <v>23</v>
      </c>
    </row>
    <row r="10" spans="1:9" ht="15" thickBot="1" x14ac:dyDescent="0.4">
      <c r="A10" t="s">
        <v>16</v>
      </c>
    </row>
    <row r="11" spans="1:9" x14ac:dyDescent="0.35">
      <c r="A11" s="8"/>
      <c r="B11" s="8" t="s">
        <v>21</v>
      </c>
      <c r="C11" s="8" t="s">
        <v>22</v>
      </c>
      <c r="D11" s="8" t="s">
        <v>23</v>
      </c>
      <c r="E11" s="8" t="s">
        <v>24</v>
      </c>
      <c r="F11" s="8" t="s">
        <v>25</v>
      </c>
    </row>
    <row r="12" spans="1:9" x14ac:dyDescent="0.35">
      <c r="A12" s="6" t="s">
        <v>17</v>
      </c>
      <c r="B12" s="6">
        <v>2</v>
      </c>
      <c r="C12" s="6">
        <v>1511195.7600461128</v>
      </c>
      <c r="D12" s="6">
        <v>755597.88002305641</v>
      </c>
      <c r="E12" s="6">
        <v>11.245357162487227</v>
      </c>
      <c r="F12" s="6">
        <v>5.3377672717879929E-4</v>
      </c>
    </row>
    <row r="13" spans="1:9" x14ac:dyDescent="0.35">
      <c r="A13" s="6" t="s">
        <v>18</v>
      </c>
      <c r="B13" s="6">
        <v>20</v>
      </c>
      <c r="C13" s="6">
        <v>1343839.7182147563</v>
      </c>
      <c r="D13" s="6">
        <v>67191.985910737814</v>
      </c>
      <c r="E13" s="6"/>
      <c r="F13" s="6"/>
    </row>
    <row r="14" spans="1:9" ht="15" thickBot="1" x14ac:dyDescent="0.4">
      <c r="A14" s="7" t="s">
        <v>19</v>
      </c>
      <c r="B14" s="7">
        <v>22</v>
      </c>
      <c r="C14" s="7">
        <v>2855035.4782608692</v>
      </c>
      <c r="D14" s="7"/>
      <c r="E14" s="7"/>
      <c r="F14" s="7"/>
    </row>
    <row r="15" spans="1:9" ht="15" thickBot="1" x14ac:dyDescent="0.4"/>
    <row r="16" spans="1:9" x14ac:dyDescent="0.35">
      <c r="A16" s="8"/>
      <c r="B16" s="8" t="s">
        <v>26</v>
      </c>
      <c r="C16" s="8" t="s">
        <v>14</v>
      </c>
      <c r="D16" s="8" t="s">
        <v>27</v>
      </c>
      <c r="E16" s="8" t="s">
        <v>28</v>
      </c>
      <c r="F16" s="8" t="s">
        <v>29</v>
      </c>
      <c r="G16" s="8" t="s">
        <v>30</v>
      </c>
      <c r="H16" s="8" t="s">
        <v>31</v>
      </c>
      <c r="I16" s="8" t="s">
        <v>32</v>
      </c>
    </row>
    <row r="17" spans="1:9" x14ac:dyDescent="0.35">
      <c r="A17" s="6" t="s">
        <v>20</v>
      </c>
      <c r="B17" s="6">
        <v>57.374176548089736</v>
      </c>
      <c r="C17" s="6">
        <v>118.49211247434891</v>
      </c>
      <c r="D17" s="6">
        <v>0.48420249542356714</v>
      </c>
      <c r="E17" s="6">
        <v>0.63350207661516533</v>
      </c>
      <c r="F17" s="6">
        <v>-189.79603886271769</v>
      </c>
      <c r="G17" s="6">
        <v>304.54439195889717</v>
      </c>
      <c r="H17" s="6">
        <v>-189.79603886271769</v>
      </c>
      <c r="I17" s="6">
        <v>304.54439195889717</v>
      </c>
    </row>
    <row r="18" spans="1:9" x14ac:dyDescent="0.35">
      <c r="A18" s="6" t="s">
        <v>4</v>
      </c>
      <c r="B18" s="6">
        <v>349.95833333333314</v>
      </c>
      <c r="C18" s="6">
        <v>113.48332021149517</v>
      </c>
      <c r="D18" s="6">
        <v>3.0837865219410854</v>
      </c>
      <c r="E18" s="6">
        <v>5.856157854420954E-3</v>
      </c>
      <c r="F18" s="6">
        <v>113.23627549778669</v>
      </c>
      <c r="G18" s="6">
        <v>586.68039116887962</v>
      </c>
      <c r="H18" s="6">
        <v>113.23627549778669</v>
      </c>
      <c r="I18" s="6">
        <v>586.68039116887962</v>
      </c>
    </row>
    <row r="19" spans="1:9" ht="15" thickBot="1" x14ac:dyDescent="0.4">
      <c r="A19" s="7" t="s">
        <v>8</v>
      </c>
      <c r="B19" s="7">
        <v>29.357707509881418</v>
      </c>
      <c r="C19" s="7">
        <v>8.1483276195057481</v>
      </c>
      <c r="D19" s="7">
        <v>3.6029120183636119</v>
      </c>
      <c r="E19" s="7">
        <v>1.776285878355424E-3</v>
      </c>
      <c r="F19" s="7">
        <v>12.36059393924555</v>
      </c>
      <c r="G19" s="7">
        <v>46.354821080517283</v>
      </c>
      <c r="H19" s="7">
        <v>12.36059393924555</v>
      </c>
      <c r="I19" s="7">
        <v>46.354821080517283</v>
      </c>
    </row>
    <row r="21" spans="1:9" ht="15" thickBot="1" x14ac:dyDescent="0.4">
      <c r="A21" s="10" t="s">
        <v>33</v>
      </c>
    </row>
    <row r="22" spans="1:9" x14ac:dyDescent="0.35">
      <c r="A22" s="8" t="s">
        <v>34</v>
      </c>
      <c r="B22" s="8" t="s">
        <v>35</v>
      </c>
      <c r="C22" s="8" t="s">
        <v>36</v>
      </c>
    </row>
    <row r="23" spans="1:9" x14ac:dyDescent="0.35">
      <c r="A23" s="6">
        <v>1</v>
      </c>
      <c r="B23" s="6">
        <v>86.731884057971158</v>
      </c>
      <c r="C23" s="6">
        <v>12.268115942028842</v>
      </c>
    </row>
    <row r="24" spans="1:9" x14ac:dyDescent="0.35">
      <c r="A24" s="6">
        <v>2</v>
      </c>
      <c r="B24" s="6">
        <v>466.0479249011857</v>
      </c>
      <c r="C24" s="6">
        <v>-93.047924901185695</v>
      </c>
    </row>
    <row r="25" spans="1:9" x14ac:dyDescent="0.35">
      <c r="A25" s="6">
        <v>3</v>
      </c>
      <c r="B25" s="6">
        <v>145.44729907773399</v>
      </c>
      <c r="C25" s="6">
        <v>-58.447299077733987</v>
      </c>
    </row>
    <row r="26" spans="1:9" x14ac:dyDescent="0.35">
      <c r="A26" s="6">
        <v>4</v>
      </c>
      <c r="B26" s="6">
        <v>174.80500658761542</v>
      </c>
      <c r="C26" s="6">
        <v>238.19499341238458</v>
      </c>
    </row>
    <row r="27" spans="1:9" x14ac:dyDescent="0.35">
      <c r="A27" s="6">
        <v>5</v>
      </c>
      <c r="B27" s="6">
        <v>554.12104743083</v>
      </c>
      <c r="C27" s="6">
        <v>-388.12104743083</v>
      </c>
    </row>
    <row r="28" spans="1:9" x14ac:dyDescent="0.35">
      <c r="A28" s="6">
        <v>6</v>
      </c>
      <c r="B28" s="6">
        <v>233.52042160737824</v>
      </c>
      <c r="C28" s="6">
        <v>63.479578392621761</v>
      </c>
    </row>
    <row r="29" spans="1:9" x14ac:dyDescent="0.35">
      <c r="A29" s="6">
        <v>7</v>
      </c>
      <c r="B29" s="6">
        <v>612.83646245059276</v>
      </c>
      <c r="C29" s="6">
        <v>-262.83646245059276</v>
      </c>
    </row>
    <row r="30" spans="1:9" x14ac:dyDescent="0.35">
      <c r="A30" s="6">
        <v>8</v>
      </c>
      <c r="B30" s="6">
        <v>292.23583662714111</v>
      </c>
      <c r="C30" s="6">
        <v>342.76416337285889</v>
      </c>
    </row>
    <row r="31" spans="1:9" x14ac:dyDescent="0.35">
      <c r="A31" s="6">
        <v>9</v>
      </c>
      <c r="B31" s="6">
        <v>321.59354413702249</v>
      </c>
      <c r="C31" s="6">
        <v>82.406455862977509</v>
      </c>
    </row>
    <row r="32" spans="1:9" x14ac:dyDescent="0.35">
      <c r="A32" s="6">
        <v>10</v>
      </c>
      <c r="B32" s="6">
        <v>350.95125164690393</v>
      </c>
      <c r="C32" s="6">
        <v>53.048748353096073</v>
      </c>
    </row>
    <row r="33" spans="1:3" x14ac:dyDescent="0.35">
      <c r="A33" s="6">
        <v>11</v>
      </c>
      <c r="B33" s="6">
        <v>730.26729249011851</v>
      </c>
      <c r="C33" s="6">
        <v>21.732707509881493</v>
      </c>
    </row>
    <row r="34" spans="1:3" x14ac:dyDescent="0.35">
      <c r="A34" s="6">
        <v>12</v>
      </c>
      <c r="B34" s="6">
        <v>409.66666666666674</v>
      </c>
      <c r="C34" s="6">
        <v>-335.66666666666674</v>
      </c>
    </row>
    <row r="35" spans="1:3" x14ac:dyDescent="0.35">
      <c r="A35" s="6">
        <v>13</v>
      </c>
      <c r="B35" s="6">
        <v>439.02437417654818</v>
      </c>
      <c r="C35" s="6">
        <v>-64.024374176548179</v>
      </c>
    </row>
    <row r="36" spans="1:3" x14ac:dyDescent="0.35">
      <c r="A36" s="6">
        <v>14</v>
      </c>
      <c r="B36" s="6">
        <v>818.34041501976276</v>
      </c>
      <c r="C36" s="6">
        <v>290.65958498023724</v>
      </c>
    </row>
    <row r="37" spans="1:3" x14ac:dyDescent="0.35">
      <c r="A37" s="6">
        <v>15</v>
      </c>
      <c r="B37" s="6">
        <v>497.73978919631099</v>
      </c>
      <c r="C37" s="6">
        <v>211.26021080368901</v>
      </c>
    </row>
    <row r="38" spans="1:3" x14ac:dyDescent="0.35">
      <c r="A38" s="6">
        <v>16</v>
      </c>
      <c r="B38" s="6">
        <v>877.05583003952552</v>
      </c>
      <c r="C38" s="6">
        <v>322.94416996047448</v>
      </c>
    </row>
    <row r="39" spans="1:3" x14ac:dyDescent="0.35">
      <c r="A39" s="6">
        <v>17</v>
      </c>
      <c r="B39" s="6">
        <v>556.45520421607387</v>
      </c>
      <c r="C39" s="6">
        <v>-326.45520421607387</v>
      </c>
    </row>
    <row r="40" spans="1:3" x14ac:dyDescent="0.35">
      <c r="A40" s="6">
        <v>18</v>
      </c>
      <c r="B40" s="6">
        <v>585.81291172595525</v>
      </c>
      <c r="C40" s="6">
        <v>306.18708827404475</v>
      </c>
    </row>
    <row r="41" spans="1:3" x14ac:dyDescent="0.35">
      <c r="A41" s="6">
        <v>19</v>
      </c>
      <c r="B41" s="6">
        <v>615.17061923583674</v>
      </c>
      <c r="C41" s="6">
        <v>-110.17061923583674</v>
      </c>
    </row>
    <row r="42" spans="1:3" x14ac:dyDescent="0.35">
      <c r="A42" s="6">
        <v>20</v>
      </c>
      <c r="B42" s="6">
        <v>994.48666007905126</v>
      </c>
      <c r="C42" s="6">
        <v>-294.48666007905126</v>
      </c>
    </row>
    <row r="43" spans="1:3" x14ac:dyDescent="0.35">
      <c r="A43" s="6">
        <v>21</v>
      </c>
      <c r="B43" s="6">
        <v>1023.8443675889326</v>
      </c>
      <c r="C43" s="6">
        <v>403.15563241106736</v>
      </c>
    </row>
    <row r="44" spans="1:3" x14ac:dyDescent="0.35">
      <c r="A44" s="6">
        <v>22</v>
      </c>
      <c r="B44" s="6">
        <v>703.24374176548099</v>
      </c>
      <c r="C44" s="6">
        <v>-94.243741765480991</v>
      </c>
    </row>
    <row r="45" spans="1:3" ht="15" thickBot="1" x14ac:dyDescent="0.4">
      <c r="A45" s="7">
        <v>23</v>
      </c>
      <c r="B45" s="7">
        <v>732.60144927536237</v>
      </c>
      <c r="C45" s="7">
        <v>-320.60144927536237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tabSelected="1" workbookViewId="0">
      <selection activeCell="B17" sqref="B17"/>
    </sheetView>
  </sheetViews>
  <sheetFormatPr defaultRowHeight="14.5" x14ac:dyDescent="0.35"/>
  <cols>
    <col min="1" max="1" width="23.6328125" customWidth="1"/>
    <col min="2" max="2" width="9.7265625" customWidth="1"/>
  </cols>
  <sheetData>
    <row r="1" spans="1:2" x14ac:dyDescent="0.35">
      <c r="A1" s="11" t="s">
        <v>38</v>
      </c>
    </row>
    <row r="2" spans="1:2" x14ac:dyDescent="0.35">
      <c r="A2" t="s">
        <v>37</v>
      </c>
    </row>
    <row r="4" spans="1:2" x14ac:dyDescent="0.35">
      <c r="A4" t="s">
        <v>8</v>
      </c>
      <c r="B4">
        <v>24</v>
      </c>
    </row>
    <row r="5" spans="1:2" x14ac:dyDescent="0.35">
      <c r="A5" t="s">
        <v>4</v>
      </c>
      <c r="B5">
        <v>1</v>
      </c>
    </row>
    <row r="8" spans="1:2" x14ac:dyDescent="0.35">
      <c r="A8" s="10" t="s">
        <v>40</v>
      </c>
    </row>
    <row r="9" spans="1:2" x14ac:dyDescent="0.35">
      <c r="A9" t="s">
        <v>39</v>
      </c>
      <c r="B9">
        <f xml:space="preserve"> 57.37417655+ (349.9583333 *B5 ) + (29.35770751 * B4)</f>
        <v>1111.91749009</v>
      </c>
    </row>
    <row r="11" spans="1:2" x14ac:dyDescent="0.35">
      <c r="A11" s="10" t="s">
        <v>44</v>
      </c>
    </row>
    <row r="12" spans="1:2" s="1" customFormat="1" x14ac:dyDescent="0.35">
      <c r="A12" s="12" t="s">
        <v>42</v>
      </c>
    </row>
    <row r="13" spans="1:2" x14ac:dyDescent="0.35">
      <c r="A13" t="s">
        <v>41</v>
      </c>
      <c r="B13">
        <f>_xlfn.NORM.S.INV(0.99)</f>
        <v>2.3263478740408408</v>
      </c>
    </row>
    <row r="14" spans="1:2" x14ac:dyDescent="0.35">
      <c r="A14" t="s">
        <v>43</v>
      </c>
      <c r="B14">
        <v>259.21416996518099</v>
      </c>
    </row>
    <row r="16" spans="1:2" x14ac:dyDescent="0.35">
      <c r="A16" t="s">
        <v>44</v>
      </c>
      <c r="B16">
        <f>B9+(B13*B14)</f>
        <v>1714.93982330976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Initial_Model</vt:lpstr>
      <vt:lpstr>Final_Model</vt:lpstr>
      <vt:lpstr>Diagnostics</vt:lpstr>
      <vt:lpstr>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Oluwateniola Oyinkansola Obiwole</cp:lastModifiedBy>
  <dcterms:created xsi:type="dcterms:W3CDTF">2025-06-09T17:16:38Z</dcterms:created>
  <dcterms:modified xsi:type="dcterms:W3CDTF">2025-06-28T16:27:39Z</dcterms:modified>
</cp:coreProperties>
</file>