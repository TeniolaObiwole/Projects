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https://universityofwestminster-my.sharepoint.com/personal/w2012864_westminster_ac_uk/Documents/"/>
    </mc:Choice>
  </mc:AlternateContent>
  <xr:revisionPtr revIDLastSave="0" documentId="8_{6BCAB9D8-15F0-456B-B983-1A66844FB5FA}" xr6:coauthVersionLast="47" xr6:coauthVersionMax="47" xr10:uidLastSave="{00000000-0000-0000-0000-000000000000}"/>
  <bookViews>
    <workbookView xWindow="200" yWindow="70" windowWidth="9260" windowHeight="10690" firstSheet="2" activeTab="2" xr2:uid="{00000000-000D-0000-FFFF-FFFF00000000}"/>
  </bookViews>
  <sheets>
    <sheet name="Inputs and Solver Model" sheetId="1" r:id="rId1"/>
    <sheet name="Sensitivity_Setup" sheetId="6" r:id="rId2"/>
    <sheet name="Sensitivity Report 1" sheetId="7" r:id="rId3"/>
  </sheets>
  <definedNames>
    <definedName name="solver_adj" localSheetId="0" hidden="1">'Inputs and Solver Model'!$B$8:$B$10</definedName>
    <definedName name="solver_adj" localSheetId="1" hidden="1">Sensitivity_Setup!$B$8:$B$10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'Inputs and Solver Model'!$B$16</definedName>
    <definedName name="solver_lhs1" localSheetId="1" hidden="1">Sensitivity_Setup!$B$8</definedName>
    <definedName name="solver_lhs2" localSheetId="0" hidden="1">'Inputs and Solver Model'!$B$10</definedName>
    <definedName name="solver_lhs2" localSheetId="1" hidden="1">Sensitivity_Setup!$B$18</definedName>
    <definedName name="solver_lhs3" localSheetId="0" hidden="1">'Inputs and Solver Model'!$B$8</definedName>
    <definedName name="solver_lhs3" localSheetId="1" hidden="1">Sensitivity_Setup!$B$8</definedName>
    <definedName name="solver_lhs4" localSheetId="0" hidden="1">'Inputs and Solver Model'!$B$18</definedName>
    <definedName name="solver_lhs4" localSheetId="1" hidden="1">Sensitivity_Setup!$B$10</definedName>
    <definedName name="solver_lhs5" localSheetId="0" hidden="1">'Inputs and Solver Model'!$B$8</definedName>
    <definedName name="solver_lhs5" localSheetId="1" hidden="1">Sensitivity_Setup!$B$9</definedName>
    <definedName name="solver_lhs6" localSheetId="0" hidden="1">'Inputs and Solver Model'!$B$17</definedName>
    <definedName name="solver_lhs6" localSheetId="1" hidden="1">Sensitivity_Setup!$B$16</definedName>
    <definedName name="solver_lhs7" localSheetId="0" hidden="1">'Inputs and Solver Model'!$B$9</definedName>
    <definedName name="solver_lhs7" localSheetId="1" hidden="1">Sensitivity_Setup!$B$17</definedName>
    <definedName name="solver_lhs8" localSheetId="0" hidden="1">'Inputs and Solver Model'!$B$9</definedName>
    <definedName name="solver_lhs8" localSheetId="1" hidden="1">Sensitivity_Setup!$B$9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7</definedName>
    <definedName name="solver_num" localSheetId="1" hidden="1">7</definedName>
    <definedName name="solver_nwt" localSheetId="0" hidden="1">1</definedName>
    <definedName name="solver_nwt" localSheetId="1" hidden="1">1</definedName>
    <definedName name="solver_opt" localSheetId="0" hidden="1">'Inputs and Solver Model'!$B$13</definedName>
    <definedName name="solver_opt" localSheetId="1" hidden="1">Sensitivity_Setup!$B$13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1</definedName>
    <definedName name="solver_rel2" localSheetId="0" hidden="1">1</definedName>
    <definedName name="solver_rel2" localSheetId="1" hidden="1">3</definedName>
    <definedName name="solver_rel3" localSheetId="0" hidden="1">1</definedName>
    <definedName name="solver_rel3" localSheetId="1" hidden="1">1</definedName>
    <definedName name="solver_rel4" localSheetId="0" hidden="1">3</definedName>
    <definedName name="solver_rel4" localSheetId="1" hidden="1">1</definedName>
    <definedName name="solver_rel5" localSheetId="0" hidden="1">1</definedName>
    <definedName name="solver_rel5" localSheetId="1" hidden="1">1</definedName>
    <definedName name="solver_rel6" localSheetId="0" hidden="1">3</definedName>
    <definedName name="solver_rel6" localSheetId="1" hidden="1">3</definedName>
    <definedName name="solver_rel7" localSheetId="0" hidden="1">1</definedName>
    <definedName name="solver_rel7" localSheetId="1" hidden="1">3</definedName>
    <definedName name="solver_rel8" localSheetId="0" hidden="1">1</definedName>
    <definedName name="solver_rel8" localSheetId="1" hidden="1">1</definedName>
    <definedName name="solver_rhs1" localSheetId="0" hidden="1">'Inputs and Solver Model'!$C$16</definedName>
    <definedName name="solver_rhs1" localSheetId="1" hidden="1">Sensitivity_Setup!$C$21</definedName>
    <definedName name="solver_rhs2" localSheetId="0" hidden="1">'Inputs and Solver Model'!$C$23</definedName>
    <definedName name="solver_rhs2" localSheetId="1" hidden="1">Sensitivity_Setup!$C$18</definedName>
    <definedName name="solver_rhs3" localSheetId="0" hidden="1">'Inputs and Solver Model'!$C$21</definedName>
    <definedName name="solver_rhs3" localSheetId="1" hidden="1">Sensitivity_Setup!$C$21</definedName>
    <definedName name="solver_rhs4" localSheetId="0" hidden="1">'Inputs and Solver Model'!$C$18</definedName>
    <definedName name="solver_rhs4" localSheetId="1" hidden="1">Sensitivity_Setup!$C$23</definedName>
    <definedName name="solver_rhs5" localSheetId="0" hidden="1">'Inputs and Solver Model'!$C$21</definedName>
    <definedName name="solver_rhs5" localSheetId="1" hidden="1">Sensitivity_Setup!$C$22</definedName>
    <definedName name="solver_rhs6" localSheetId="0" hidden="1">'Inputs and Solver Model'!$C$17</definedName>
    <definedName name="solver_rhs6" localSheetId="1" hidden="1">Sensitivity_Setup!$C$16</definedName>
    <definedName name="solver_rhs7" localSheetId="0" hidden="1">'Inputs and Solver Model'!$C$22</definedName>
    <definedName name="solver_rhs7" localSheetId="1" hidden="1">Sensitivity_Setup!$C$17</definedName>
    <definedName name="solver_rhs8" localSheetId="0" hidden="1">'Inputs and Solver Model'!$C$22</definedName>
    <definedName name="solver_rhs8" localSheetId="1" hidden="1">Sensitivity_Setup!$C$22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6" l="1"/>
  <c r="C18" i="6" s="1"/>
  <c r="B13" i="6"/>
  <c r="B16" i="6"/>
  <c r="B21" i="6"/>
  <c r="B22" i="6"/>
  <c r="B23" i="6"/>
  <c r="A37" i="6"/>
  <c r="A36" i="6"/>
  <c r="A35" i="6"/>
  <c r="A32" i="6"/>
  <c r="A31" i="6"/>
  <c r="A30" i="6"/>
  <c r="A29" i="6"/>
  <c r="A28" i="6"/>
  <c r="B18" i="6"/>
  <c r="B17" i="6"/>
  <c r="B18" i="1"/>
  <c r="B17" i="1"/>
  <c r="B16" i="1"/>
  <c r="B21" i="1"/>
  <c r="B23" i="1"/>
  <c r="B22" i="1"/>
  <c r="B13" i="1"/>
  <c r="C16" i="6" l="1"/>
  <c r="C17" i="6"/>
</calcChain>
</file>

<file path=xl/sharedStrings.xml><?xml version="1.0" encoding="utf-8"?>
<sst xmlns="http://schemas.openxmlformats.org/spreadsheetml/2006/main" count="102" uniqueCount="58">
  <si>
    <t>Cost/valve</t>
  </si>
  <si>
    <t>% small</t>
  </si>
  <si>
    <t>% medium</t>
  </si>
  <si>
    <t>% large</t>
  </si>
  <si>
    <t>Supplier 1</t>
  </si>
  <si>
    <t>Supplier 2</t>
  </si>
  <si>
    <t>Supplier 3</t>
  </si>
  <si>
    <t>Decision Variables</t>
  </si>
  <si>
    <t>Order from Supplier 1 (x1)</t>
  </si>
  <si>
    <t>Order from Supplier 2 (x2)</t>
  </si>
  <si>
    <t>Order from Supplier 3 (x3)</t>
  </si>
  <si>
    <t>Total Cost</t>
  </si>
  <si>
    <t>Minimum Total Cost(£)</t>
  </si>
  <si>
    <t>Component mix (LHS)</t>
  </si>
  <si>
    <t>Required(LHS)</t>
  </si>
  <si>
    <t>Total Small</t>
  </si>
  <si>
    <t>Total Medium</t>
  </si>
  <si>
    <t>Total Large</t>
  </si>
  <si>
    <t>Max Supplier Purchase (LHS)</t>
  </si>
  <si>
    <t>Limit RHS</t>
  </si>
  <si>
    <t>Order Supplier 1 (x1)</t>
  </si>
  <si>
    <t>Order Supplier 2 (x2)</t>
  </si>
  <si>
    <t>Order Supplier 3 (x3)</t>
  </si>
  <si>
    <t>Percentage Increase (ΔP)</t>
  </si>
  <si>
    <t>Optimal Total Cost (£)</t>
  </si>
  <si>
    <t>Supplier 1 Order</t>
  </si>
  <si>
    <t>Supplier 2 Order</t>
  </si>
  <si>
    <t>Supplier 3 Order</t>
  </si>
  <si>
    <t>Infeasible</t>
  </si>
  <si>
    <t>Variable Cells</t>
  </si>
  <si>
    <t>Final</t>
  </si>
  <si>
    <t>Reduced</t>
  </si>
  <si>
    <t>Objective</t>
  </si>
  <si>
    <t>Allowable</t>
  </si>
  <si>
    <t>Cell</t>
  </si>
  <si>
    <t>Name</t>
  </si>
  <si>
    <t>Value</t>
  </si>
  <si>
    <t>Cost</t>
  </si>
  <si>
    <t>Coefficient</t>
  </si>
  <si>
    <t>Increase</t>
  </si>
  <si>
    <t>Decrease</t>
  </si>
  <si>
    <t>$B$8</t>
  </si>
  <si>
    <t>Order from Supplier 1 (x1) Cost/valve</t>
  </si>
  <si>
    <t>$B$9</t>
  </si>
  <si>
    <t>Order from Supplier 2 (x2) Cost/valve</t>
  </si>
  <si>
    <t>$B$10</t>
  </si>
  <si>
    <t>Order from Supplier 3 (x3) Cost/valve</t>
  </si>
  <si>
    <t>Constraints</t>
  </si>
  <si>
    <t>Shadow</t>
  </si>
  <si>
    <t>Constraint</t>
  </si>
  <si>
    <t>Price</t>
  </si>
  <si>
    <t>R.H. Side</t>
  </si>
  <si>
    <t>$B$16</t>
  </si>
  <si>
    <t>Total Small Cost/valve</t>
  </si>
  <si>
    <t>$B$18</t>
  </si>
  <si>
    <t>Total Large Cost/valve</t>
  </si>
  <si>
    <t>$B$17</t>
  </si>
  <si>
    <t>Total Medium Cost/valve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</si>
</sst>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right"/>
    </xf>
    <xf numFmtId="0" fontId="3" fillId="0" borderId="0" xfId="1" applyFont="1"/>
    <xf numFmtId="164" fontId="3" fillId="0" borderId="0" xfId="1" applyNumberFormat="1" applyFont="1"/>
    <xf numFmtId="164" fontId="0" fillId="0" borderId="0" xfId="0" applyNumberFormat="1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2">
    <cellStyle name="Normal" xfId="0" builtinId="0"/>
    <cellStyle name="Normal 2" xfId="1" xr:uid="{F28A5192-85B1-4DE5-BDF3-DDF914BC4A5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opLeftCell="A5" workbookViewId="0">
      <selection activeCell="C8" sqref="C8"/>
    </sheetView>
  </sheetViews>
  <sheetFormatPr defaultRowHeight="14.45"/>
  <cols>
    <col min="1" max="1" width="24.7109375" bestFit="1" customWidth="1"/>
    <col min="3" max="3" width="12.5703125" bestFit="1" customWidth="1"/>
    <col min="4" max="4" width="9.5703125" bestFit="1" customWidth="1"/>
    <col min="5" max="5" width="6.85546875" bestFit="1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>
        <v>20</v>
      </c>
      <c r="C2" s="2">
        <v>0.4</v>
      </c>
      <c r="D2" s="2">
        <v>0.4</v>
      </c>
      <c r="E2" s="2">
        <v>0.2</v>
      </c>
    </row>
    <row r="3" spans="1:5">
      <c r="A3" s="2" t="s">
        <v>5</v>
      </c>
      <c r="B3" s="3">
        <v>16</v>
      </c>
      <c r="C3" s="2">
        <v>0.3</v>
      </c>
      <c r="D3" s="2">
        <v>0.35</v>
      </c>
      <c r="E3" s="2">
        <v>0.35</v>
      </c>
    </row>
    <row r="4" spans="1:5">
      <c r="A4" s="2" t="s">
        <v>6</v>
      </c>
      <c r="B4" s="3">
        <v>12</v>
      </c>
      <c r="C4" s="2">
        <v>0.2</v>
      </c>
      <c r="D4" s="2">
        <v>0.2</v>
      </c>
      <c r="E4" s="2">
        <v>0.6</v>
      </c>
    </row>
    <row r="7" spans="1:5">
      <c r="A7" s="2" t="s">
        <v>7</v>
      </c>
    </row>
    <row r="8" spans="1:5">
      <c r="A8" s="2" t="s">
        <v>8</v>
      </c>
      <c r="B8">
        <v>125.00000000000016</v>
      </c>
    </row>
    <row r="9" spans="1:5">
      <c r="A9" s="2" t="s">
        <v>9</v>
      </c>
      <c r="B9">
        <v>500</v>
      </c>
    </row>
    <row r="10" spans="1:5">
      <c r="A10" t="s">
        <v>10</v>
      </c>
      <c r="B10">
        <v>500</v>
      </c>
    </row>
    <row r="12" spans="1:5">
      <c r="A12" s="5" t="s">
        <v>11</v>
      </c>
    </row>
    <row r="13" spans="1:5">
      <c r="A13" t="s">
        <v>12</v>
      </c>
      <c r="B13" s="4">
        <f>B8*B2 + B9*B3 + B10*B4</f>
        <v>16500.000000000004</v>
      </c>
    </row>
    <row r="15" spans="1:5">
      <c r="A15" s="5" t="s">
        <v>13</v>
      </c>
      <c r="C15" s="5" t="s">
        <v>14</v>
      </c>
    </row>
    <row r="16" spans="1:5">
      <c r="A16" t="s">
        <v>15</v>
      </c>
      <c r="B16">
        <f>B8*C2 + B9*C3 +B10*C4</f>
        <v>300.00000000000006</v>
      </c>
      <c r="C16">
        <v>300</v>
      </c>
    </row>
    <row r="17" spans="1:3">
      <c r="A17" t="s">
        <v>16</v>
      </c>
      <c r="B17">
        <f>B8*D2 + B9*D3 +B10*D4</f>
        <v>325.00000000000006</v>
      </c>
      <c r="C17">
        <v>300</v>
      </c>
    </row>
    <row r="18" spans="1:3">
      <c r="A18" t="s">
        <v>17</v>
      </c>
      <c r="B18">
        <f>B8*E2 + B9*E3 + B10*E4</f>
        <v>500</v>
      </c>
      <c r="C18">
        <v>500</v>
      </c>
    </row>
    <row r="20" spans="1:3">
      <c r="A20" s="5" t="s">
        <v>18</v>
      </c>
      <c r="C20" s="5" t="s">
        <v>19</v>
      </c>
    </row>
    <row r="21" spans="1:3">
      <c r="A21" t="s">
        <v>20</v>
      </c>
      <c r="B21">
        <f>B8</f>
        <v>125.00000000000016</v>
      </c>
      <c r="C21">
        <v>500</v>
      </c>
    </row>
    <row r="22" spans="1:3">
      <c r="A22" t="s">
        <v>21</v>
      </c>
      <c r="B22">
        <f>B9</f>
        <v>500</v>
      </c>
      <c r="C22">
        <v>500</v>
      </c>
    </row>
    <row r="23" spans="1:3">
      <c r="A23" t="s">
        <v>22</v>
      </c>
      <c r="B23">
        <f>B10</f>
        <v>500</v>
      </c>
      <c r="C23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F213-585C-433B-B6FB-61C1648FAF20}">
  <dimension ref="A1:E37"/>
  <sheetViews>
    <sheetView topLeftCell="A5" zoomScale="84" workbookViewId="0">
      <selection activeCell="E38" sqref="E38"/>
    </sheetView>
  </sheetViews>
  <sheetFormatPr defaultRowHeight="14.45"/>
  <cols>
    <col min="1" max="1" width="24.7109375" bestFit="1" customWidth="1"/>
    <col min="2" max="2" width="19.140625" bestFit="1" customWidth="1"/>
    <col min="3" max="3" width="14.85546875" customWidth="1"/>
    <col min="4" max="5" width="14.5703125" bestFit="1" customWidth="1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>
        <v>20</v>
      </c>
      <c r="C2" s="2">
        <v>0.4</v>
      </c>
      <c r="D2" s="2">
        <v>0.4</v>
      </c>
      <c r="E2" s="2">
        <v>0.2</v>
      </c>
    </row>
    <row r="3" spans="1:5">
      <c r="A3" s="2" t="s">
        <v>5</v>
      </c>
      <c r="B3" s="3">
        <v>16</v>
      </c>
      <c r="C3" s="2">
        <v>0.3</v>
      </c>
      <c r="D3" s="2">
        <v>0.35</v>
      </c>
      <c r="E3" s="2">
        <v>0.35</v>
      </c>
    </row>
    <row r="4" spans="1:5">
      <c r="A4" s="2" t="s">
        <v>6</v>
      </c>
      <c r="B4" s="3">
        <v>12</v>
      </c>
      <c r="C4" s="2">
        <v>0.2</v>
      </c>
      <c r="D4" s="2">
        <v>0.2</v>
      </c>
      <c r="E4" s="2">
        <v>0.6</v>
      </c>
    </row>
    <row r="7" spans="1:5">
      <c r="A7" s="2" t="s">
        <v>7</v>
      </c>
    </row>
    <row r="8" spans="1:5">
      <c r="A8" s="2" t="s">
        <v>8</v>
      </c>
      <c r="B8">
        <v>475.00000000000051</v>
      </c>
    </row>
    <row r="9" spans="1:5">
      <c r="A9" s="2" t="s">
        <v>9</v>
      </c>
      <c r="B9">
        <v>500</v>
      </c>
    </row>
    <row r="10" spans="1:5">
      <c r="A10" t="s">
        <v>10</v>
      </c>
      <c r="B10">
        <v>500</v>
      </c>
    </row>
    <row r="12" spans="1:5">
      <c r="A12" s="5" t="s">
        <v>11</v>
      </c>
    </row>
    <row r="13" spans="1:5">
      <c r="A13" t="s">
        <v>12</v>
      </c>
      <c r="B13" s="4">
        <f>B8*B2 + B9*B3 + B10*B4</f>
        <v>23500.000000000011</v>
      </c>
    </row>
    <row r="15" spans="1:5">
      <c r="A15" s="5" t="s">
        <v>13</v>
      </c>
      <c r="C15" s="5" t="s">
        <v>14</v>
      </c>
    </row>
    <row r="16" spans="1:5">
      <c r="A16" t="s">
        <v>15</v>
      </c>
      <c r="B16">
        <f>B8*C2 + B9*C3 +B10*C4</f>
        <v>440.00000000000023</v>
      </c>
      <c r="C16">
        <f>300*(1+B25)</f>
        <v>348</v>
      </c>
    </row>
    <row r="17" spans="1:5">
      <c r="A17" t="s">
        <v>16</v>
      </c>
      <c r="B17">
        <f>B8*D2 + B9*D3 +B10*D4</f>
        <v>465.00000000000023</v>
      </c>
      <c r="C17">
        <f>300*(1+B25)</f>
        <v>348</v>
      </c>
    </row>
    <row r="18" spans="1:5">
      <c r="A18" t="s">
        <v>17</v>
      </c>
      <c r="B18">
        <f>B8*E2 + B9*E3 + B10*E4</f>
        <v>570.00000000000011</v>
      </c>
      <c r="C18">
        <f>500*(1+B25)</f>
        <v>580</v>
      </c>
    </row>
    <row r="20" spans="1:5">
      <c r="A20" s="5" t="s">
        <v>18</v>
      </c>
      <c r="C20" s="5" t="s">
        <v>19</v>
      </c>
    </row>
    <row r="21" spans="1:5">
      <c r="A21" t="s">
        <v>20</v>
      </c>
      <c r="B21">
        <f>B8</f>
        <v>475.00000000000051</v>
      </c>
      <c r="C21">
        <v>500</v>
      </c>
    </row>
    <row r="22" spans="1:5">
      <c r="A22" t="s">
        <v>21</v>
      </c>
      <c r="B22">
        <f>B9</f>
        <v>500</v>
      </c>
      <c r="C22">
        <v>500</v>
      </c>
    </row>
    <row r="23" spans="1:5">
      <c r="A23" t="s">
        <v>22</v>
      </c>
      <c r="B23">
        <f>B10</f>
        <v>500</v>
      </c>
      <c r="C23">
        <v>500</v>
      </c>
    </row>
    <row r="25" spans="1:5">
      <c r="A25" t="s">
        <v>23</v>
      </c>
      <c r="B25">
        <f>0.16</f>
        <v>0.16</v>
      </c>
    </row>
    <row r="27" spans="1:5">
      <c r="A27" t="s">
        <v>23</v>
      </c>
      <c r="B27" t="s">
        <v>24</v>
      </c>
      <c r="C27" t="s">
        <v>25</v>
      </c>
      <c r="D27" t="s">
        <v>26</v>
      </c>
      <c r="E27" t="s">
        <v>27</v>
      </c>
    </row>
    <row r="28" spans="1:5">
      <c r="A28">
        <f>0.02</f>
        <v>0.02</v>
      </c>
      <c r="B28" s="4">
        <v>17500</v>
      </c>
      <c r="C28">
        <v>175</v>
      </c>
      <c r="D28">
        <v>500</v>
      </c>
      <c r="E28">
        <v>500</v>
      </c>
    </row>
    <row r="29" spans="1:5">
      <c r="A29">
        <f>0.04</f>
        <v>0.04</v>
      </c>
      <c r="B29">
        <v>18500.000000000004</v>
      </c>
      <c r="C29">
        <v>225</v>
      </c>
      <c r="D29">
        <v>500</v>
      </c>
      <c r="E29">
        <v>500</v>
      </c>
    </row>
    <row r="30" spans="1:5">
      <c r="A30">
        <f>0.06</f>
        <v>0.06</v>
      </c>
      <c r="B30">
        <v>19500</v>
      </c>
      <c r="C30">
        <v>275</v>
      </c>
      <c r="D30">
        <v>500</v>
      </c>
      <c r="E30">
        <v>500</v>
      </c>
    </row>
    <row r="31" spans="1:5">
      <c r="A31">
        <f>0.08</f>
        <v>0.08</v>
      </c>
      <c r="B31">
        <v>20500</v>
      </c>
      <c r="C31">
        <v>325</v>
      </c>
      <c r="D31">
        <v>500</v>
      </c>
      <c r="E31">
        <v>500</v>
      </c>
    </row>
    <row r="32" spans="1:5">
      <c r="A32">
        <f>0.1</f>
        <v>0.1</v>
      </c>
      <c r="B32">
        <v>21500</v>
      </c>
      <c r="C32">
        <v>375</v>
      </c>
      <c r="D32">
        <v>500</v>
      </c>
      <c r="E32">
        <v>500</v>
      </c>
    </row>
    <row r="33" spans="1:5">
      <c r="A33">
        <v>0.12</v>
      </c>
      <c r="B33">
        <v>22500</v>
      </c>
      <c r="C33">
        <v>425</v>
      </c>
      <c r="D33">
        <v>500</v>
      </c>
      <c r="E33">
        <v>500</v>
      </c>
    </row>
    <row r="34" spans="1:5">
      <c r="A34">
        <v>0.14000000000000001</v>
      </c>
      <c r="B34">
        <v>23500</v>
      </c>
      <c r="C34">
        <v>475</v>
      </c>
      <c r="D34">
        <v>500</v>
      </c>
      <c r="E34">
        <v>500</v>
      </c>
    </row>
    <row r="35" spans="1:5">
      <c r="A35">
        <f>0.16</f>
        <v>0.16</v>
      </c>
      <c r="B35" t="s">
        <v>28</v>
      </c>
      <c r="C35" t="s">
        <v>28</v>
      </c>
      <c r="D35" t="s">
        <v>28</v>
      </c>
      <c r="E35" t="s">
        <v>28</v>
      </c>
    </row>
    <row r="36" spans="1:5">
      <c r="A36">
        <f>0.18</f>
        <v>0.18</v>
      </c>
      <c r="B36" t="s">
        <v>28</v>
      </c>
      <c r="C36" t="s">
        <v>28</v>
      </c>
      <c r="D36" t="s">
        <v>28</v>
      </c>
      <c r="E36" t="s">
        <v>28</v>
      </c>
    </row>
    <row r="37" spans="1:5">
      <c r="A37">
        <f>0.2</f>
        <v>0.2</v>
      </c>
      <c r="B37" t="s">
        <v>28</v>
      </c>
      <c r="C37" t="s">
        <v>28</v>
      </c>
      <c r="D37" t="s">
        <v>28</v>
      </c>
      <c r="E3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B93D9-2EC8-4ABD-9668-01105E2138F4}">
  <dimension ref="A1:H18"/>
  <sheetViews>
    <sheetView showGridLines="0" tabSelected="1" workbookViewId="0">
      <selection activeCell="C21" sqref="C21"/>
    </sheetView>
  </sheetViews>
  <sheetFormatPr defaultRowHeight="14.45"/>
  <cols>
    <col min="1" max="1" width="2.140625" customWidth="1"/>
    <col min="2" max="2" width="5.85546875" bestFit="1" customWidth="1"/>
    <col min="3" max="3" width="32.28515625" bestFit="1" customWidth="1"/>
    <col min="4" max="4" width="5.5703125" bestFit="1" customWidth="1"/>
    <col min="5" max="5" width="8" bestFit="1" customWidth="1"/>
    <col min="6" max="6" width="9.85546875" bestFit="1" customWidth="1"/>
    <col min="7" max="7" width="12.42578125" bestFit="1" customWidth="1"/>
    <col min="8" max="8" width="11.85546875" bestFit="1" customWidth="1"/>
  </cols>
  <sheetData>
    <row r="1" spans="1:8">
      <c r="A1" s="5"/>
    </row>
    <row r="2" spans="1:8">
      <c r="A2" s="5"/>
    </row>
    <row r="3" spans="1:8">
      <c r="A3" s="5"/>
    </row>
    <row r="6" spans="1:8" ht="15" thickBot="1">
      <c r="A6" t="s">
        <v>29</v>
      </c>
    </row>
    <row r="7" spans="1:8">
      <c r="B7" s="8"/>
      <c r="C7" s="8"/>
      <c r="D7" s="8" t="s">
        <v>30</v>
      </c>
      <c r="E7" s="8" t="s">
        <v>31</v>
      </c>
      <c r="F7" s="8" t="s">
        <v>32</v>
      </c>
      <c r="G7" s="8" t="s">
        <v>33</v>
      </c>
      <c r="H7" s="8" t="s">
        <v>33</v>
      </c>
    </row>
    <row r="8" spans="1:8" ht="15" thickBot="1">
      <c r="B8" s="9" t="s">
        <v>34</v>
      </c>
      <c r="C8" s="9" t="s">
        <v>35</v>
      </c>
      <c r="D8" s="9" t="s">
        <v>36</v>
      </c>
      <c r="E8" s="9" t="s">
        <v>37</v>
      </c>
      <c r="F8" s="9" t="s">
        <v>38</v>
      </c>
      <c r="G8" s="9" t="s">
        <v>39</v>
      </c>
      <c r="H8" s="9" t="s">
        <v>40</v>
      </c>
    </row>
    <row r="9" spans="1:8">
      <c r="B9" s="6" t="s">
        <v>41</v>
      </c>
      <c r="C9" s="6" t="s">
        <v>42</v>
      </c>
      <c r="D9" s="6">
        <v>125.00000000000016</v>
      </c>
      <c r="E9" s="6">
        <v>0</v>
      </c>
      <c r="F9" s="6">
        <v>20</v>
      </c>
      <c r="G9" s="6">
        <v>1E+30</v>
      </c>
      <c r="H9" s="6">
        <v>10.857142857142852</v>
      </c>
    </row>
    <row r="10" spans="1:8">
      <c r="B10" s="6" t="s">
        <v>43</v>
      </c>
      <c r="C10" s="6" t="s">
        <v>44</v>
      </c>
      <c r="D10" s="6">
        <v>500</v>
      </c>
      <c r="E10" s="6">
        <v>-18.999999999999986</v>
      </c>
      <c r="F10" s="6">
        <v>16</v>
      </c>
      <c r="G10" s="6">
        <v>18.999999999999986</v>
      </c>
      <c r="H10" s="6">
        <v>1E+30</v>
      </c>
    </row>
    <row r="11" spans="1:8" ht="15" thickBot="1">
      <c r="B11" s="7" t="s">
        <v>45</v>
      </c>
      <c r="C11" s="7" t="s">
        <v>46</v>
      </c>
      <c r="D11" s="7">
        <v>500</v>
      </c>
      <c r="E11" s="7">
        <v>-47.999999999999964</v>
      </c>
      <c r="F11" s="7">
        <v>12</v>
      </c>
      <c r="G11" s="7">
        <v>47.999999999999964</v>
      </c>
      <c r="H11" s="7">
        <v>1E+30</v>
      </c>
    </row>
    <row r="13" spans="1:8" ht="15" thickBot="1">
      <c r="A13" t="s">
        <v>47</v>
      </c>
    </row>
    <row r="14" spans="1:8">
      <c r="B14" s="8"/>
      <c r="C14" s="8"/>
      <c r="D14" s="8" t="s">
        <v>30</v>
      </c>
      <c r="E14" s="8" t="s">
        <v>48</v>
      </c>
      <c r="F14" s="8" t="s">
        <v>49</v>
      </c>
      <c r="G14" s="8" t="s">
        <v>33</v>
      </c>
      <c r="H14" s="8" t="s">
        <v>33</v>
      </c>
    </row>
    <row r="15" spans="1:8" ht="15" thickBot="1">
      <c r="B15" s="9" t="s">
        <v>34</v>
      </c>
      <c r="C15" s="9" t="s">
        <v>35</v>
      </c>
      <c r="D15" s="9" t="s">
        <v>36</v>
      </c>
      <c r="E15" s="9" t="s">
        <v>50</v>
      </c>
      <c r="F15" s="9" t="s">
        <v>51</v>
      </c>
      <c r="G15" s="9" t="s">
        <v>39</v>
      </c>
      <c r="H15" s="9" t="s">
        <v>40</v>
      </c>
    </row>
    <row r="16" spans="1:8">
      <c r="B16" s="6" t="s">
        <v>52</v>
      </c>
      <c r="C16" s="6" t="s">
        <v>53</v>
      </c>
      <c r="D16" s="6">
        <v>300.00000000000006</v>
      </c>
      <c r="E16" s="6">
        <v>0</v>
      </c>
      <c r="F16" s="6">
        <v>300</v>
      </c>
      <c r="G16" s="6">
        <v>-7.1054273576010019E-15</v>
      </c>
      <c r="H16" s="6">
        <v>1E+30</v>
      </c>
    </row>
    <row r="17" spans="2:8">
      <c r="B17" s="6" t="s">
        <v>54</v>
      </c>
      <c r="C17" s="6" t="s">
        <v>55</v>
      </c>
      <c r="D17" s="6">
        <v>500</v>
      </c>
      <c r="E17" s="6">
        <v>99.999999999999943</v>
      </c>
      <c r="F17" s="6">
        <v>500</v>
      </c>
      <c r="G17" s="6">
        <v>75</v>
      </c>
      <c r="H17" s="6">
        <v>0</v>
      </c>
    </row>
    <row r="18" spans="2:8" ht="15" thickBot="1">
      <c r="B18" s="7" t="s">
        <v>56</v>
      </c>
      <c r="C18" s="7" t="s">
        <v>57</v>
      </c>
      <c r="D18" s="7">
        <v>325.00000000000006</v>
      </c>
      <c r="E18" s="7">
        <v>0</v>
      </c>
      <c r="F18" s="7">
        <v>300</v>
      </c>
      <c r="G18" s="7">
        <v>25.000000000000014</v>
      </c>
      <c r="H18" s="7">
        <v>1E+30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ff30e4-b7de-4ca2-bcdc-bc62190464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E1A501BF2E54E9E09F9FB15D938FD" ma:contentTypeVersion="11" ma:contentTypeDescription="Create a new document." ma:contentTypeScope="" ma:versionID="b4cd8c4b19766fb1c789b635a40e03ad">
  <xsd:schema xmlns:xsd="http://www.w3.org/2001/XMLSchema" xmlns:xs="http://www.w3.org/2001/XMLSchema" xmlns:p="http://schemas.microsoft.com/office/2006/metadata/properties" xmlns:ns3="edff30e4-b7de-4ca2-bcdc-bc62190464f7" targetNamespace="http://schemas.microsoft.com/office/2006/metadata/properties" ma:root="true" ma:fieldsID="74b130bdbf06ba2b9bf3abc2e53f7fb7" ns3:_="">
    <xsd:import namespace="edff30e4-b7de-4ca2-bcdc-bc62190464f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f30e4-b7de-4ca2-bcdc-bc62190464f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45DB70-AE5B-41C7-B5CB-E132329EDC5B}"/>
</file>

<file path=customXml/itemProps2.xml><?xml version="1.0" encoding="utf-8"?>
<ds:datastoreItem xmlns:ds="http://schemas.openxmlformats.org/officeDocument/2006/customXml" ds:itemID="{26517CDD-8C68-483A-BE86-3D38F7EA06F0}"/>
</file>

<file path=customXml/itemProps3.xml><?xml version="1.0" encoding="utf-8"?>
<ds:datastoreItem xmlns:ds="http://schemas.openxmlformats.org/officeDocument/2006/customXml" ds:itemID="{F40B11B6-F7D9-43B0-8D21-0152FA4813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2025-06-09T17:16:38Z</dcterms:created>
  <dcterms:modified xsi:type="dcterms:W3CDTF">2025-09-30T14:15:35Z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0x010100242E1A501BF2E54E9E09F9FB15D938FD</vt:lpwstr>
  </property>
</Properties>
</file>