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sight\Downloads\TSGF\ten\"/>
    </mc:Choice>
  </mc:AlternateContent>
  <xr:revisionPtr revIDLastSave="0" documentId="13_ncr:1_{7A947613-79F6-4A4F-826A-72EAF89B1A13}" xr6:coauthVersionLast="47" xr6:coauthVersionMax="47" xr10:uidLastSave="{00000000-0000-0000-0000-000000000000}"/>
  <bookViews>
    <workbookView xWindow="-108" yWindow="-108" windowWidth="23256" windowHeight="12456" tabRatio="914" activeTab="1" xr2:uid="{844E4F3E-4162-4AC5-8806-11E30ED0E481}"/>
  </bookViews>
  <sheets>
    <sheet name="Formula1_2023season_raceResults" sheetId="15" r:id="rId1"/>
    <sheet name="Formula1_2024season_raceResults" sheetId="1" r:id="rId2"/>
    <sheet name="Sprint Results" sheetId="13" r:id="rId3"/>
    <sheet name="Quarters Points" sheetId="11" r:id="rId4"/>
    <sheet name="Big 4 Stats" sheetId="12" r:id="rId5"/>
    <sheet name="RedBull" sheetId="5" r:id="rId6"/>
    <sheet name="Checo" sheetId="4" r:id="rId7"/>
    <sheet name="Max vs Checo" sheetId="2" r:id="rId8"/>
    <sheet name="Max vs Checo vs HD" sheetId="14" r:id="rId9"/>
  </sheets>
  <definedNames>
    <definedName name="_xlnm._FilterDatabase" localSheetId="4" hidden="1">'Big 4 Stats'!$A$1:$K$193</definedName>
    <definedName name="_xlnm._FilterDatabase" localSheetId="6" hidden="1">Checo!$I$1:$I$25</definedName>
    <definedName name="_xlnm._FilterDatabase" localSheetId="1" hidden="1">Formula1_2024season_raceResults!$A$1:$L$481</definedName>
    <definedName name="_xlnm._FilterDatabase" localSheetId="8" hidden="1">'Max vs Checo vs HD'!$A$1:$N$73</definedName>
    <definedName name="_xlnm._FilterDatabase" localSheetId="5" hidden="1">RedBull!$N$1:$N$49</definedName>
    <definedName name="_xlnm._FilterDatabase" localSheetId="2" hidden="1">'Sprint Results'!$A$1:$I$121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15" l="1"/>
  <c r="L134" i="15" s="1"/>
  <c r="L154" i="15" s="1"/>
  <c r="L174" i="15" s="1"/>
  <c r="L194" i="15" s="1"/>
  <c r="L214" i="15" s="1"/>
  <c r="L234" i="15" s="1"/>
  <c r="L254" i="15" s="1"/>
  <c r="L274" i="15" s="1"/>
  <c r="L294" i="15" s="1"/>
  <c r="L314" i="15" s="1"/>
  <c r="L334" i="15" s="1"/>
  <c r="L354" i="15" s="1"/>
  <c r="L374" i="15" s="1"/>
  <c r="L394" i="15" s="1"/>
  <c r="L414" i="15" s="1"/>
  <c r="L434" i="15" s="1"/>
  <c r="L98" i="15"/>
  <c r="L118" i="15" s="1"/>
  <c r="L138" i="15" s="1"/>
  <c r="L158" i="15" s="1"/>
  <c r="L178" i="15" s="1"/>
  <c r="L198" i="15" s="1"/>
  <c r="L218" i="15" s="1"/>
  <c r="L238" i="15" s="1"/>
  <c r="L258" i="15" s="1"/>
  <c r="L278" i="15" s="1"/>
  <c r="L298" i="15" s="1"/>
  <c r="L318" i="15" s="1"/>
  <c r="L338" i="15" s="1"/>
  <c r="L358" i="15" s="1"/>
  <c r="L378" i="15" s="1"/>
  <c r="L398" i="15" s="1"/>
  <c r="L418" i="15" s="1"/>
  <c r="L438" i="15" s="1"/>
  <c r="L74" i="15"/>
  <c r="L94" i="15" s="1"/>
  <c r="L60" i="15"/>
  <c r="L80" i="15" s="1"/>
  <c r="L100" i="15" s="1"/>
  <c r="L120" i="15" s="1"/>
  <c r="L140" i="15" s="1"/>
  <c r="L160" i="15" s="1"/>
  <c r="L180" i="15" s="1"/>
  <c r="L200" i="15" s="1"/>
  <c r="L220" i="15" s="1"/>
  <c r="L240" i="15" s="1"/>
  <c r="L260" i="15" s="1"/>
  <c r="L280" i="15" s="1"/>
  <c r="L300" i="15" s="1"/>
  <c r="L320" i="15" s="1"/>
  <c r="L340" i="15" s="1"/>
  <c r="L360" i="15" s="1"/>
  <c r="L380" i="15" s="1"/>
  <c r="L400" i="15" s="1"/>
  <c r="L420" i="15" s="1"/>
  <c r="L440" i="15" s="1"/>
  <c r="L58" i="15"/>
  <c r="L78" i="15" s="1"/>
  <c r="L55" i="15"/>
  <c r="L75" i="15" s="1"/>
  <c r="L95" i="15" s="1"/>
  <c r="L115" i="15" s="1"/>
  <c r="L135" i="15" s="1"/>
  <c r="L155" i="15" s="1"/>
  <c r="L175" i="15" s="1"/>
  <c r="L195" i="15" s="1"/>
  <c r="L215" i="15" s="1"/>
  <c r="L235" i="15" s="1"/>
  <c r="L255" i="15" s="1"/>
  <c r="L275" i="15" s="1"/>
  <c r="L295" i="15" s="1"/>
  <c r="L315" i="15" s="1"/>
  <c r="L335" i="15" s="1"/>
  <c r="L355" i="15" s="1"/>
  <c r="L375" i="15" s="1"/>
  <c r="L395" i="15" s="1"/>
  <c r="L415" i="15" s="1"/>
  <c r="L435" i="15" s="1"/>
  <c r="L52" i="15"/>
  <c r="L72" i="15" s="1"/>
  <c r="L92" i="15" s="1"/>
  <c r="L112" i="15" s="1"/>
  <c r="L132" i="15" s="1"/>
  <c r="L152" i="15" s="1"/>
  <c r="L172" i="15" s="1"/>
  <c r="L192" i="15" s="1"/>
  <c r="L212" i="15" s="1"/>
  <c r="L232" i="15" s="1"/>
  <c r="L252" i="15" s="1"/>
  <c r="L272" i="15" s="1"/>
  <c r="L292" i="15" s="1"/>
  <c r="L312" i="15" s="1"/>
  <c r="L332" i="15" s="1"/>
  <c r="L352" i="15" s="1"/>
  <c r="L372" i="15" s="1"/>
  <c r="L392" i="15" s="1"/>
  <c r="L412" i="15" s="1"/>
  <c r="L432" i="15" s="1"/>
  <c r="L50" i="15"/>
  <c r="L70" i="15" s="1"/>
  <c r="L90" i="15" s="1"/>
  <c r="L110" i="15" s="1"/>
  <c r="L130" i="15" s="1"/>
  <c r="L150" i="15" s="1"/>
  <c r="L170" i="15" s="1"/>
  <c r="L190" i="15" s="1"/>
  <c r="L210" i="15" s="1"/>
  <c r="L230" i="15" s="1"/>
  <c r="L250" i="15" s="1"/>
  <c r="L270" i="15" s="1"/>
  <c r="L290" i="15" s="1"/>
  <c r="L310" i="15" s="1"/>
  <c r="L330" i="15" s="1"/>
  <c r="L350" i="15" s="1"/>
  <c r="L370" i="15" s="1"/>
  <c r="L390" i="15" s="1"/>
  <c r="L410" i="15" s="1"/>
  <c r="L430" i="15" s="1"/>
  <c r="L47" i="15"/>
  <c r="L67" i="15" s="1"/>
  <c r="L87" i="15" s="1"/>
  <c r="L107" i="15" s="1"/>
  <c r="L127" i="15" s="1"/>
  <c r="L147" i="15" s="1"/>
  <c r="L167" i="15" s="1"/>
  <c r="L187" i="15" s="1"/>
  <c r="L207" i="15" s="1"/>
  <c r="L227" i="15" s="1"/>
  <c r="L247" i="15" s="1"/>
  <c r="L267" i="15" s="1"/>
  <c r="L287" i="15" s="1"/>
  <c r="L307" i="15" s="1"/>
  <c r="L327" i="15" s="1"/>
  <c r="L347" i="15" s="1"/>
  <c r="L367" i="15" s="1"/>
  <c r="L387" i="15" s="1"/>
  <c r="L407" i="15" s="1"/>
  <c r="L427" i="15" s="1"/>
  <c r="L44" i="15"/>
  <c r="L64" i="15" s="1"/>
  <c r="L84" i="15" s="1"/>
  <c r="L104" i="15" s="1"/>
  <c r="L124" i="15" s="1"/>
  <c r="L144" i="15" s="1"/>
  <c r="L164" i="15" s="1"/>
  <c r="L184" i="15" s="1"/>
  <c r="L204" i="15" s="1"/>
  <c r="L224" i="15" s="1"/>
  <c r="L244" i="15" s="1"/>
  <c r="L264" i="15" s="1"/>
  <c r="L284" i="15" s="1"/>
  <c r="L304" i="15" s="1"/>
  <c r="L324" i="15" s="1"/>
  <c r="L344" i="15" s="1"/>
  <c r="L364" i="15" s="1"/>
  <c r="L384" i="15" s="1"/>
  <c r="L404" i="15" s="1"/>
  <c r="L424" i="15" s="1"/>
  <c r="L41" i="15"/>
  <c r="L61" i="15" s="1"/>
  <c r="L81" i="15" s="1"/>
  <c r="L101" i="15" s="1"/>
  <c r="L121" i="15" s="1"/>
  <c r="L141" i="15" s="1"/>
  <c r="L161" i="15" s="1"/>
  <c r="L181" i="15" s="1"/>
  <c r="L201" i="15" s="1"/>
  <c r="L221" i="15" s="1"/>
  <c r="L241" i="15" s="1"/>
  <c r="L261" i="15" s="1"/>
  <c r="L281" i="15" s="1"/>
  <c r="L301" i="15" s="1"/>
  <c r="L321" i="15" s="1"/>
  <c r="L341" i="15" s="1"/>
  <c r="L361" i="15" s="1"/>
  <c r="L381" i="15" s="1"/>
  <c r="L401" i="15" s="1"/>
  <c r="L421" i="15" s="1"/>
  <c r="L441" i="15" s="1"/>
  <c r="L40" i="15"/>
  <c r="L39" i="15"/>
  <c r="L59" i="15" s="1"/>
  <c r="L79" i="15" s="1"/>
  <c r="L99" i="15" s="1"/>
  <c r="L119" i="15" s="1"/>
  <c r="L139" i="15" s="1"/>
  <c r="L159" i="15" s="1"/>
  <c r="L179" i="15" s="1"/>
  <c r="L199" i="15" s="1"/>
  <c r="L219" i="15" s="1"/>
  <c r="L239" i="15" s="1"/>
  <c r="L259" i="15" s="1"/>
  <c r="L279" i="15" s="1"/>
  <c r="L299" i="15" s="1"/>
  <c r="L319" i="15" s="1"/>
  <c r="L339" i="15" s="1"/>
  <c r="L359" i="15" s="1"/>
  <c r="L379" i="15" s="1"/>
  <c r="L399" i="15" s="1"/>
  <c r="L419" i="15" s="1"/>
  <c r="L439" i="15" s="1"/>
  <c r="L38" i="15"/>
  <c r="L37" i="15"/>
  <c r="L57" i="15" s="1"/>
  <c r="L77" i="15" s="1"/>
  <c r="L97" i="15" s="1"/>
  <c r="L117" i="15" s="1"/>
  <c r="L137" i="15" s="1"/>
  <c r="L157" i="15" s="1"/>
  <c r="L177" i="15" s="1"/>
  <c r="L197" i="15" s="1"/>
  <c r="L217" i="15" s="1"/>
  <c r="L237" i="15" s="1"/>
  <c r="L257" i="15" s="1"/>
  <c r="L277" i="15" s="1"/>
  <c r="L297" i="15" s="1"/>
  <c r="L317" i="15" s="1"/>
  <c r="L337" i="15" s="1"/>
  <c r="L357" i="15" s="1"/>
  <c r="L377" i="15" s="1"/>
  <c r="L397" i="15" s="1"/>
  <c r="L417" i="15" s="1"/>
  <c r="L437" i="15" s="1"/>
  <c r="L36" i="15"/>
  <c r="L56" i="15" s="1"/>
  <c r="L76" i="15" s="1"/>
  <c r="L96" i="15" s="1"/>
  <c r="L116" i="15" s="1"/>
  <c r="L136" i="15" s="1"/>
  <c r="L156" i="15" s="1"/>
  <c r="L176" i="15" s="1"/>
  <c r="L196" i="15" s="1"/>
  <c r="L216" i="15" s="1"/>
  <c r="L236" i="15" s="1"/>
  <c r="L256" i="15" s="1"/>
  <c r="L276" i="15" s="1"/>
  <c r="L296" i="15" s="1"/>
  <c r="L316" i="15" s="1"/>
  <c r="L336" i="15" s="1"/>
  <c r="L356" i="15" s="1"/>
  <c r="L376" i="15" s="1"/>
  <c r="L396" i="15" s="1"/>
  <c r="L416" i="15" s="1"/>
  <c r="L436" i="15" s="1"/>
  <c r="L35" i="15"/>
  <c r="L34" i="15"/>
  <c r="L54" i="15" s="1"/>
  <c r="L33" i="15"/>
  <c r="L53" i="15" s="1"/>
  <c r="L73" i="15" s="1"/>
  <c r="L93" i="15" s="1"/>
  <c r="L113" i="15" s="1"/>
  <c r="L133" i="15" s="1"/>
  <c r="L153" i="15" s="1"/>
  <c r="L173" i="15" s="1"/>
  <c r="L193" i="15" s="1"/>
  <c r="L213" i="15" s="1"/>
  <c r="L233" i="15" s="1"/>
  <c r="L253" i="15" s="1"/>
  <c r="L273" i="15" s="1"/>
  <c r="L293" i="15" s="1"/>
  <c r="L313" i="15" s="1"/>
  <c r="L333" i="15" s="1"/>
  <c r="L353" i="15" s="1"/>
  <c r="L373" i="15" s="1"/>
  <c r="L393" i="15" s="1"/>
  <c r="L413" i="15" s="1"/>
  <c r="L433" i="15" s="1"/>
  <c r="L32" i="15"/>
  <c r="L31" i="15"/>
  <c r="L51" i="15" s="1"/>
  <c r="L71" i="15" s="1"/>
  <c r="L91" i="15" s="1"/>
  <c r="L111" i="15" s="1"/>
  <c r="L131" i="15" s="1"/>
  <c r="L151" i="15" s="1"/>
  <c r="L171" i="15" s="1"/>
  <c r="L191" i="15" s="1"/>
  <c r="L211" i="15" s="1"/>
  <c r="L231" i="15" s="1"/>
  <c r="L251" i="15" s="1"/>
  <c r="L271" i="15" s="1"/>
  <c r="L291" i="15" s="1"/>
  <c r="L311" i="15" s="1"/>
  <c r="L331" i="15" s="1"/>
  <c r="L351" i="15" s="1"/>
  <c r="L371" i="15" s="1"/>
  <c r="L391" i="15" s="1"/>
  <c r="L411" i="15" s="1"/>
  <c r="L431" i="15" s="1"/>
  <c r="L30" i="15"/>
  <c r="L29" i="15"/>
  <c r="L49" i="15" s="1"/>
  <c r="L69" i="15" s="1"/>
  <c r="L89" i="15" s="1"/>
  <c r="L109" i="15" s="1"/>
  <c r="L129" i="15" s="1"/>
  <c r="L149" i="15" s="1"/>
  <c r="L169" i="15" s="1"/>
  <c r="L189" i="15" s="1"/>
  <c r="L209" i="15" s="1"/>
  <c r="L229" i="15" s="1"/>
  <c r="L249" i="15" s="1"/>
  <c r="L269" i="15" s="1"/>
  <c r="L289" i="15" s="1"/>
  <c r="L309" i="15" s="1"/>
  <c r="L329" i="15" s="1"/>
  <c r="L349" i="15" s="1"/>
  <c r="L369" i="15" s="1"/>
  <c r="L389" i="15" s="1"/>
  <c r="L409" i="15" s="1"/>
  <c r="L429" i="15" s="1"/>
  <c r="L28" i="15"/>
  <c r="L48" i="15" s="1"/>
  <c r="L68" i="15" s="1"/>
  <c r="L88" i="15" s="1"/>
  <c r="L108" i="15" s="1"/>
  <c r="L128" i="15" s="1"/>
  <c r="L148" i="15" s="1"/>
  <c r="L168" i="15" s="1"/>
  <c r="L188" i="15" s="1"/>
  <c r="L208" i="15" s="1"/>
  <c r="L228" i="15" s="1"/>
  <c r="L248" i="15" s="1"/>
  <c r="L268" i="15" s="1"/>
  <c r="L288" i="15" s="1"/>
  <c r="L308" i="15" s="1"/>
  <c r="L328" i="15" s="1"/>
  <c r="L348" i="15" s="1"/>
  <c r="L368" i="15" s="1"/>
  <c r="L388" i="15" s="1"/>
  <c r="L408" i="15" s="1"/>
  <c r="L428" i="15" s="1"/>
  <c r="L27" i="15"/>
  <c r="L26" i="15"/>
  <c r="L46" i="15" s="1"/>
  <c r="L66" i="15" s="1"/>
  <c r="L86" i="15" s="1"/>
  <c r="L106" i="15" s="1"/>
  <c r="L126" i="15" s="1"/>
  <c r="L146" i="15" s="1"/>
  <c r="L166" i="15" s="1"/>
  <c r="L186" i="15" s="1"/>
  <c r="L206" i="15" s="1"/>
  <c r="L226" i="15" s="1"/>
  <c r="L246" i="15" s="1"/>
  <c r="L266" i="15" s="1"/>
  <c r="L286" i="15" s="1"/>
  <c r="L306" i="15" s="1"/>
  <c r="L326" i="15" s="1"/>
  <c r="L346" i="15" s="1"/>
  <c r="L366" i="15" s="1"/>
  <c r="L386" i="15" s="1"/>
  <c r="L406" i="15" s="1"/>
  <c r="L426" i="15" s="1"/>
  <c r="L25" i="15"/>
  <c r="L45" i="15" s="1"/>
  <c r="L65" i="15" s="1"/>
  <c r="L85" i="15" s="1"/>
  <c r="L105" i="15" s="1"/>
  <c r="L125" i="15" s="1"/>
  <c r="L145" i="15" s="1"/>
  <c r="L165" i="15" s="1"/>
  <c r="L185" i="15" s="1"/>
  <c r="L205" i="15" s="1"/>
  <c r="L225" i="15" s="1"/>
  <c r="L245" i="15" s="1"/>
  <c r="L265" i="15" s="1"/>
  <c r="L285" i="15" s="1"/>
  <c r="L305" i="15" s="1"/>
  <c r="L325" i="15" s="1"/>
  <c r="L345" i="15" s="1"/>
  <c r="L365" i="15" s="1"/>
  <c r="L385" i="15" s="1"/>
  <c r="L405" i="15" s="1"/>
  <c r="L425" i="15" s="1"/>
  <c r="L24" i="15"/>
  <c r="L23" i="15"/>
  <c r="L43" i="15" s="1"/>
  <c r="L63" i="15" s="1"/>
  <c r="L83" i="15" s="1"/>
  <c r="L103" i="15" s="1"/>
  <c r="L123" i="15" s="1"/>
  <c r="L143" i="15" s="1"/>
  <c r="L163" i="15" s="1"/>
  <c r="L183" i="15" s="1"/>
  <c r="L203" i="15" s="1"/>
  <c r="L223" i="15" s="1"/>
  <c r="L243" i="15" s="1"/>
  <c r="L263" i="15" s="1"/>
  <c r="L283" i="15" s="1"/>
  <c r="L303" i="15" s="1"/>
  <c r="L323" i="15" s="1"/>
  <c r="L343" i="15" s="1"/>
  <c r="L363" i="15" s="1"/>
  <c r="L383" i="15" s="1"/>
  <c r="L403" i="15" s="1"/>
  <c r="L423" i="15" s="1"/>
  <c r="L22" i="15"/>
  <c r="L42" i="15" s="1"/>
  <c r="L62" i="15" s="1"/>
  <c r="L82" i="15" s="1"/>
  <c r="L102" i="15" s="1"/>
  <c r="L122" i="15" s="1"/>
  <c r="L142" i="15" s="1"/>
  <c r="L162" i="15" s="1"/>
  <c r="L182" i="15" s="1"/>
  <c r="L202" i="15" s="1"/>
  <c r="L222" i="15" s="1"/>
  <c r="L242" i="15" s="1"/>
  <c r="L262" i="15" s="1"/>
  <c r="L282" i="15" s="1"/>
  <c r="L302" i="15" s="1"/>
  <c r="L322" i="15" s="1"/>
  <c r="L342" i="15" s="1"/>
  <c r="L362" i="15" s="1"/>
  <c r="L382" i="15" s="1"/>
  <c r="L402" i="15" s="1"/>
  <c r="L422" i="15" s="1"/>
  <c r="M48" i="14"/>
  <c r="M72" i="14"/>
  <c r="M71" i="14"/>
  <c r="M69" i="14"/>
  <c r="M68" i="14"/>
  <c r="M66" i="14"/>
  <c r="M65" i="14"/>
  <c r="M63" i="14"/>
  <c r="M62" i="14"/>
  <c r="M60" i="14"/>
  <c r="M59" i="14"/>
  <c r="M57" i="14"/>
  <c r="M56" i="14"/>
  <c r="M54" i="14"/>
  <c r="M53" i="14"/>
  <c r="M51" i="14"/>
  <c r="M47" i="14"/>
  <c r="M45" i="14"/>
  <c r="M44" i="14"/>
  <c r="M42" i="14"/>
  <c r="M41" i="14"/>
  <c r="M39" i="14"/>
  <c r="M38" i="14"/>
  <c r="M36" i="14"/>
  <c r="M35" i="14"/>
  <c r="M33" i="14"/>
  <c r="M32" i="14"/>
  <c r="M30" i="14"/>
  <c r="M29" i="14"/>
  <c r="M27" i="14"/>
  <c r="M26" i="14"/>
  <c r="M24" i="14"/>
  <c r="M23" i="14"/>
  <c r="M21" i="14"/>
  <c r="M20" i="14"/>
  <c r="M18" i="14"/>
  <c r="M17" i="14"/>
  <c r="M15" i="14"/>
  <c r="M14" i="14"/>
  <c r="M12" i="14"/>
  <c r="M11" i="14"/>
  <c r="M9" i="14"/>
  <c r="M8" i="14"/>
  <c r="M6" i="14"/>
  <c r="M5" i="14"/>
  <c r="M3" i="14"/>
  <c r="M2" i="14"/>
  <c r="N73" i="14"/>
  <c r="L41" i="1"/>
  <c r="L61" i="1" s="1"/>
  <c r="L81" i="1" s="1"/>
  <c r="L101" i="1" s="1"/>
  <c r="L121" i="1" s="1"/>
  <c r="L141" i="1" s="1"/>
  <c r="L161" i="1" s="1"/>
  <c r="L181" i="1" s="1"/>
  <c r="L201" i="1" s="1"/>
  <c r="L221" i="1" s="1"/>
  <c r="L241" i="1" s="1"/>
  <c r="L261" i="1" s="1"/>
  <c r="L281" i="1" s="1"/>
  <c r="L301" i="1" s="1"/>
  <c r="L321" i="1" s="1"/>
  <c r="L341" i="1" s="1"/>
  <c r="L361" i="1" s="1"/>
  <c r="L381" i="1" s="1"/>
  <c r="L401" i="1" s="1"/>
  <c r="L421" i="1" s="1"/>
  <c r="L441" i="1" s="1"/>
  <c r="L461" i="1" s="1"/>
  <c r="L481" i="1" s="1"/>
  <c r="L40" i="1"/>
  <c r="L60" i="1" s="1"/>
  <c r="L80" i="1" s="1"/>
  <c r="L100" i="1" s="1"/>
  <c r="L120" i="1" s="1"/>
  <c r="L140" i="1" s="1"/>
  <c r="L160" i="1" s="1"/>
  <c r="L180" i="1" s="1"/>
  <c r="L200" i="1" s="1"/>
  <c r="L220" i="1" s="1"/>
  <c r="L240" i="1" s="1"/>
  <c r="L260" i="1" s="1"/>
  <c r="L280" i="1" s="1"/>
  <c r="L300" i="1" s="1"/>
  <c r="L320" i="1" s="1"/>
  <c r="L340" i="1" s="1"/>
  <c r="L360" i="1" s="1"/>
  <c r="L380" i="1" s="1"/>
  <c r="L400" i="1" s="1"/>
  <c r="L420" i="1" s="1"/>
  <c r="L440" i="1" s="1"/>
  <c r="L460" i="1" s="1"/>
  <c r="L480" i="1" s="1"/>
  <c r="L39" i="1"/>
  <c r="L59" i="1" s="1"/>
  <c r="L79" i="1" s="1"/>
  <c r="L99" i="1" s="1"/>
  <c r="L119" i="1" s="1"/>
  <c r="L139" i="1" s="1"/>
  <c r="L159" i="1" s="1"/>
  <c r="L179" i="1" s="1"/>
  <c r="L199" i="1" s="1"/>
  <c r="L219" i="1" s="1"/>
  <c r="L239" i="1" s="1"/>
  <c r="L259" i="1" s="1"/>
  <c r="L279" i="1" s="1"/>
  <c r="L299" i="1" s="1"/>
  <c r="L319" i="1" s="1"/>
  <c r="L339" i="1" s="1"/>
  <c r="L359" i="1" s="1"/>
  <c r="L379" i="1" s="1"/>
  <c r="L399" i="1" s="1"/>
  <c r="L419" i="1" s="1"/>
  <c r="L439" i="1" s="1"/>
  <c r="L459" i="1" s="1"/>
  <c r="L479" i="1" s="1"/>
  <c r="L38" i="1"/>
  <c r="L58" i="1" s="1"/>
  <c r="L78" i="1" s="1"/>
  <c r="L98" i="1" s="1"/>
  <c r="L118" i="1" s="1"/>
  <c r="L138" i="1" s="1"/>
  <c r="L158" i="1" s="1"/>
  <c r="L178" i="1" s="1"/>
  <c r="L198" i="1" s="1"/>
  <c r="L218" i="1" s="1"/>
  <c r="L238" i="1" s="1"/>
  <c r="L258" i="1" s="1"/>
  <c r="L278" i="1" s="1"/>
  <c r="L298" i="1" s="1"/>
  <c r="L318" i="1" s="1"/>
  <c r="L338" i="1" s="1"/>
  <c r="L358" i="1" s="1"/>
  <c r="L378" i="1" s="1"/>
  <c r="L398" i="1" s="1"/>
  <c r="L418" i="1" s="1"/>
  <c r="L438" i="1" s="1"/>
  <c r="L458" i="1" s="1"/>
  <c r="L478" i="1" s="1"/>
  <c r="L37" i="1"/>
  <c r="L57" i="1" s="1"/>
  <c r="L77" i="1" s="1"/>
  <c r="L97" i="1" s="1"/>
  <c r="L117" i="1" s="1"/>
  <c r="L137" i="1" s="1"/>
  <c r="L157" i="1" s="1"/>
  <c r="L177" i="1" s="1"/>
  <c r="L197" i="1" s="1"/>
  <c r="L217" i="1" s="1"/>
  <c r="L237" i="1" s="1"/>
  <c r="L257" i="1" s="1"/>
  <c r="L277" i="1" s="1"/>
  <c r="L297" i="1" s="1"/>
  <c r="L317" i="1" s="1"/>
  <c r="L337" i="1" s="1"/>
  <c r="L357" i="1" s="1"/>
  <c r="L377" i="1" s="1"/>
  <c r="L397" i="1" s="1"/>
  <c r="L417" i="1" s="1"/>
  <c r="L437" i="1" s="1"/>
  <c r="L457" i="1" s="1"/>
  <c r="L477" i="1" s="1"/>
  <c r="L36" i="1"/>
  <c r="L56" i="1" s="1"/>
  <c r="L76" i="1" s="1"/>
  <c r="L96" i="1" s="1"/>
  <c r="L116" i="1" s="1"/>
  <c r="L136" i="1" s="1"/>
  <c r="L156" i="1" s="1"/>
  <c r="L176" i="1" s="1"/>
  <c r="L196" i="1" s="1"/>
  <c r="L216" i="1" s="1"/>
  <c r="L236" i="1" s="1"/>
  <c r="L256" i="1" s="1"/>
  <c r="L276" i="1" s="1"/>
  <c r="L296" i="1" s="1"/>
  <c r="L316" i="1" s="1"/>
  <c r="L336" i="1" s="1"/>
  <c r="L356" i="1" s="1"/>
  <c r="L376" i="1" s="1"/>
  <c r="L396" i="1" s="1"/>
  <c r="L416" i="1" s="1"/>
  <c r="L436" i="1" s="1"/>
  <c r="L456" i="1" s="1"/>
  <c r="L476" i="1" s="1"/>
  <c r="L35" i="1"/>
  <c r="L55" i="1" s="1"/>
  <c r="L75" i="1" s="1"/>
  <c r="L95" i="1" s="1"/>
  <c r="L115" i="1" s="1"/>
  <c r="L135" i="1" s="1"/>
  <c r="L155" i="1" s="1"/>
  <c r="L175" i="1" s="1"/>
  <c r="L195" i="1" s="1"/>
  <c r="L215" i="1" s="1"/>
  <c r="L235" i="1" s="1"/>
  <c r="L255" i="1" s="1"/>
  <c r="L275" i="1" s="1"/>
  <c r="L295" i="1" s="1"/>
  <c r="L315" i="1" s="1"/>
  <c r="L335" i="1" s="1"/>
  <c r="L355" i="1" s="1"/>
  <c r="L375" i="1" s="1"/>
  <c r="L395" i="1" s="1"/>
  <c r="L415" i="1" s="1"/>
  <c r="L435" i="1" s="1"/>
  <c r="L455" i="1" s="1"/>
  <c r="L475" i="1" s="1"/>
  <c r="L34" i="1"/>
  <c r="L54" i="1" s="1"/>
  <c r="L74" i="1" s="1"/>
  <c r="L94" i="1" s="1"/>
  <c r="L114" i="1" s="1"/>
  <c r="L134" i="1" s="1"/>
  <c r="L154" i="1" s="1"/>
  <c r="L174" i="1" s="1"/>
  <c r="L194" i="1" s="1"/>
  <c r="L214" i="1" s="1"/>
  <c r="L234" i="1" s="1"/>
  <c r="L254" i="1" s="1"/>
  <c r="L274" i="1" s="1"/>
  <c r="L294" i="1" s="1"/>
  <c r="L314" i="1" s="1"/>
  <c r="L334" i="1" s="1"/>
  <c r="L354" i="1" s="1"/>
  <c r="L374" i="1" s="1"/>
  <c r="L394" i="1" s="1"/>
  <c r="L414" i="1" s="1"/>
  <c r="L434" i="1" s="1"/>
  <c r="L454" i="1" s="1"/>
  <c r="L474" i="1" s="1"/>
  <c r="L33" i="1"/>
  <c r="L53" i="1" s="1"/>
  <c r="L73" i="1" s="1"/>
  <c r="L93" i="1" s="1"/>
  <c r="L113" i="1" s="1"/>
  <c r="L133" i="1" s="1"/>
  <c r="L153" i="1" s="1"/>
  <c r="L173" i="1" s="1"/>
  <c r="L193" i="1" s="1"/>
  <c r="L213" i="1" s="1"/>
  <c r="L233" i="1" s="1"/>
  <c r="L253" i="1" s="1"/>
  <c r="L273" i="1" s="1"/>
  <c r="L293" i="1" s="1"/>
  <c r="L313" i="1" s="1"/>
  <c r="L333" i="1" s="1"/>
  <c r="L353" i="1" s="1"/>
  <c r="L373" i="1" s="1"/>
  <c r="L393" i="1" s="1"/>
  <c r="L413" i="1" s="1"/>
  <c r="L433" i="1" s="1"/>
  <c r="L453" i="1" s="1"/>
  <c r="L473" i="1" s="1"/>
  <c r="L32" i="1"/>
  <c r="L52" i="1" s="1"/>
  <c r="L72" i="1" s="1"/>
  <c r="L92" i="1" s="1"/>
  <c r="L112" i="1" s="1"/>
  <c r="L132" i="1" s="1"/>
  <c r="L152" i="1" s="1"/>
  <c r="L172" i="1" s="1"/>
  <c r="L192" i="1" s="1"/>
  <c r="L212" i="1" s="1"/>
  <c r="L232" i="1" s="1"/>
  <c r="L252" i="1" s="1"/>
  <c r="L272" i="1" s="1"/>
  <c r="L292" i="1" s="1"/>
  <c r="L312" i="1" s="1"/>
  <c r="L332" i="1" s="1"/>
  <c r="L352" i="1" s="1"/>
  <c r="L372" i="1" s="1"/>
  <c r="L392" i="1" s="1"/>
  <c r="L412" i="1" s="1"/>
  <c r="L432" i="1" s="1"/>
  <c r="L452" i="1" s="1"/>
  <c r="L472" i="1" s="1"/>
  <c r="L31" i="1"/>
  <c r="L51" i="1" s="1"/>
  <c r="L71" i="1" s="1"/>
  <c r="L91" i="1" s="1"/>
  <c r="L111" i="1" s="1"/>
  <c r="L131" i="1" s="1"/>
  <c r="L151" i="1" s="1"/>
  <c r="L171" i="1" s="1"/>
  <c r="L191" i="1" s="1"/>
  <c r="L211" i="1" s="1"/>
  <c r="L231" i="1" s="1"/>
  <c r="L251" i="1" s="1"/>
  <c r="L271" i="1" s="1"/>
  <c r="L291" i="1" s="1"/>
  <c r="L311" i="1" s="1"/>
  <c r="L331" i="1" s="1"/>
  <c r="L351" i="1" s="1"/>
  <c r="L371" i="1" s="1"/>
  <c r="L391" i="1" s="1"/>
  <c r="L411" i="1" s="1"/>
  <c r="L431" i="1" s="1"/>
  <c r="L451" i="1" s="1"/>
  <c r="L471" i="1" s="1"/>
  <c r="L30" i="1"/>
  <c r="L50" i="1" s="1"/>
  <c r="L70" i="1" s="1"/>
  <c r="L90" i="1" s="1"/>
  <c r="L110" i="1" s="1"/>
  <c r="L130" i="1" s="1"/>
  <c r="L150" i="1" s="1"/>
  <c r="L170" i="1" s="1"/>
  <c r="L190" i="1" s="1"/>
  <c r="L210" i="1" s="1"/>
  <c r="L230" i="1" s="1"/>
  <c r="L250" i="1" s="1"/>
  <c r="L270" i="1" s="1"/>
  <c r="L290" i="1" s="1"/>
  <c r="L310" i="1" s="1"/>
  <c r="L330" i="1" s="1"/>
  <c r="L350" i="1" s="1"/>
  <c r="L370" i="1" s="1"/>
  <c r="L390" i="1" s="1"/>
  <c r="L410" i="1" s="1"/>
  <c r="L430" i="1" s="1"/>
  <c r="L450" i="1" s="1"/>
  <c r="L470" i="1" s="1"/>
  <c r="L29" i="1"/>
  <c r="L49" i="1" s="1"/>
  <c r="L69" i="1" s="1"/>
  <c r="L89" i="1" s="1"/>
  <c r="L109" i="1" s="1"/>
  <c r="L129" i="1" s="1"/>
  <c r="L149" i="1" s="1"/>
  <c r="L169" i="1" s="1"/>
  <c r="L189" i="1" s="1"/>
  <c r="L209" i="1" s="1"/>
  <c r="L229" i="1" s="1"/>
  <c r="L249" i="1" s="1"/>
  <c r="L269" i="1" s="1"/>
  <c r="L289" i="1" s="1"/>
  <c r="L309" i="1" s="1"/>
  <c r="L329" i="1" s="1"/>
  <c r="L349" i="1" s="1"/>
  <c r="L369" i="1" s="1"/>
  <c r="L389" i="1" s="1"/>
  <c r="L409" i="1" s="1"/>
  <c r="L429" i="1" s="1"/>
  <c r="L449" i="1" s="1"/>
  <c r="L469" i="1" s="1"/>
  <c r="L28" i="1"/>
  <c r="L48" i="1" s="1"/>
  <c r="L68" i="1" s="1"/>
  <c r="L88" i="1" s="1"/>
  <c r="L108" i="1" s="1"/>
  <c r="L128" i="1" s="1"/>
  <c r="L148" i="1" s="1"/>
  <c r="L168" i="1" s="1"/>
  <c r="L188" i="1" s="1"/>
  <c r="L208" i="1" s="1"/>
  <c r="L228" i="1" s="1"/>
  <c r="L248" i="1" s="1"/>
  <c r="L268" i="1" s="1"/>
  <c r="L288" i="1" s="1"/>
  <c r="L308" i="1" s="1"/>
  <c r="L328" i="1" s="1"/>
  <c r="L348" i="1" s="1"/>
  <c r="L368" i="1" s="1"/>
  <c r="L388" i="1" s="1"/>
  <c r="L408" i="1" s="1"/>
  <c r="L428" i="1" s="1"/>
  <c r="L448" i="1" s="1"/>
  <c r="L468" i="1" s="1"/>
  <c r="L27" i="1"/>
  <c r="L47" i="1" s="1"/>
  <c r="L67" i="1" s="1"/>
  <c r="L87" i="1" s="1"/>
  <c r="L107" i="1" s="1"/>
  <c r="L127" i="1" s="1"/>
  <c r="L147" i="1" s="1"/>
  <c r="L167" i="1" s="1"/>
  <c r="L187" i="1" s="1"/>
  <c r="L207" i="1" s="1"/>
  <c r="L227" i="1" s="1"/>
  <c r="L247" i="1" s="1"/>
  <c r="L267" i="1" s="1"/>
  <c r="L287" i="1" s="1"/>
  <c r="L307" i="1" s="1"/>
  <c r="L327" i="1" s="1"/>
  <c r="L347" i="1" s="1"/>
  <c r="L367" i="1" s="1"/>
  <c r="L387" i="1" s="1"/>
  <c r="L407" i="1" s="1"/>
  <c r="L427" i="1" s="1"/>
  <c r="L447" i="1" s="1"/>
  <c r="L467" i="1" s="1"/>
  <c r="L26" i="1"/>
  <c r="L46" i="1" s="1"/>
  <c r="L66" i="1" s="1"/>
  <c r="L86" i="1" s="1"/>
  <c r="L106" i="1" s="1"/>
  <c r="L126" i="1" s="1"/>
  <c r="L146" i="1" s="1"/>
  <c r="L166" i="1" s="1"/>
  <c r="L186" i="1" s="1"/>
  <c r="L206" i="1" s="1"/>
  <c r="L226" i="1" s="1"/>
  <c r="L246" i="1" s="1"/>
  <c r="L266" i="1" s="1"/>
  <c r="L286" i="1" s="1"/>
  <c r="L306" i="1" s="1"/>
  <c r="L326" i="1" s="1"/>
  <c r="L346" i="1" s="1"/>
  <c r="L366" i="1" s="1"/>
  <c r="L386" i="1" s="1"/>
  <c r="L406" i="1" s="1"/>
  <c r="L426" i="1" s="1"/>
  <c r="L446" i="1" s="1"/>
  <c r="L466" i="1" s="1"/>
  <c r="L25" i="1"/>
  <c r="L45" i="1" s="1"/>
  <c r="L65" i="1" s="1"/>
  <c r="L85" i="1" s="1"/>
  <c r="L105" i="1" s="1"/>
  <c r="L125" i="1" s="1"/>
  <c r="L145" i="1" s="1"/>
  <c r="L165" i="1" s="1"/>
  <c r="L185" i="1" s="1"/>
  <c r="L205" i="1" s="1"/>
  <c r="L225" i="1" s="1"/>
  <c r="L245" i="1" s="1"/>
  <c r="L265" i="1" s="1"/>
  <c r="L285" i="1" s="1"/>
  <c r="L305" i="1" s="1"/>
  <c r="L325" i="1" s="1"/>
  <c r="L345" i="1" s="1"/>
  <c r="L365" i="1" s="1"/>
  <c r="L385" i="1" s="1"/>
  <c r="L405" i="1" s="1"/>
  <c r="L425" i="1" s="1"/>
  <c r="L445" i="1" s="1"/>
  <c r="L465" i="1" s="1"/>
  <c r="L24" i="1"/>
  <c r="L44" i="1" s="1"/>
  <c r="L64" i="1" s="1"/>
  <c r="L84" i="1" s="1"/>
  <c r="L104" i="1" s="1"/>
  <c r="L124" i="1" s="1"/>
  <c r="L144" i="1" s="1"/>
  <c r="L164" i="1" s="1"/>
  <c r="L184" i="1" s="1"/>
  <c r="L204" i="1" s="1"/>
  <c r="L224" i="1" s="1"/>
  <c r="L244" i="1" s="1"/>
  <c r="L264" i="1" s="1"/>
  <c r="L284" i="1" s="1"/>
  <c r="L304" i="1" s="1"/>
  <c r="L324" i="1" s="1"/>
  <c r="L344" i="1" s="1"/>
  <c r="L364" i="1" s="1"/>
  <c r="L384" i="1" s="1"/>
  <c r="L404" i="1" s="1"/>
  <c r="L424" i="1" s="1"/>
  <c r="L444" i="1" s="1"/>
  <c r="L464" i="1" s="1"/>
  <c r="L23" i="1"/>
  <c r="L43" i="1" s="1"/>
  <c r="L63" i="1" s="1"/>
  <c r="L83" i="1" s="1"/>
  <c r="L103" i="1" s="1"/>
  <c r="L123" i="1" s="1"/>
  <c r="L143" i="1" s="1"/>
  <c r="L163" i="1" s="1"/>
  <c r="L183" i="1" s="1"/>
  <c r="L203" i="1" s="1"/>
  <c r="L223" i="1" s="1"/>
  <c r="L243" i="1" s="1"/>
  <c r="L263" i="1" s="1"/>
  <c r="L283" i="1" s="1"/>
  <c r="L303" i="1" s="1"/>
  <c r="L323" i="1" s="1"/>
  <c r="L343" i="1" s="1"/>
  <c r="L363" i="1" s="1"/>
  <c r="L383" i="1" s="1"/>
  <c r="L403" i="1" s="1"/>
  <c r="L423" i="1" s="1"/>
  <c r="L443" i="1" s="1"/>
  <c r="L463" i="1" s="1"/>
  <c r="L22" i="1"/>
  <c r="L42" i="1" s="1"/>
  <c r="O5" i="5"/>
  <c r="O4" i="5"/>
  <c r="O3" i="5"/>
  <c r="O2" i="5"/>
  <c r="C14" i="11"/>
  <c r="C15" i="11"/>
  <c r="C16" i="11"/>
  <c r="C17" i="11"/>
  <c r="C13" i="11"/>
  <c r="C9" i="11"/>
  <c r="C12" i="11"/>
  <c r="C8" i="11"/>
  <c r="C7" i="11"/>
  <c r="C10" i="11"/>
  <c r="C6" i="11"/>
  <c r="C11" i="11"/>
  <c r="C5" i="11"/>
  <c r="C4" i="11"/>
  <c r="C2" i="11"/>
  <c r="C3" i="11"/>
  <c r="L48" i="5"/>
  <c r="L46" i="5"/>
  <c r="L44" i="5"/>
  <c r="L42" i="5"/>
  <c r="L40" i="5"/>
  <c r="L38" i="5"/>
  <c r="L36" i="5"/>
  <c r="L34" i="5"/>
  <c r="L32" i="5"/>
  <c r="L30" i="5"/>
  <c r="L28" i="5"/>
  <c r="L26" i="5"/>
  <c r="L24" i="5"/>
  <c r="L22" i="5"/>
  <c r="L20" i="5"/>
  <c r="L18" i="5"/>
  <c r="L16" i="5"/>
  <c r="L14" i="5"/>
  <c r="L12" i="5"/>
  <c r="L10" i="5"/>
  <c r="L8" i="5"/>
  <c r="L6" i="5"/>
  <c r="L4" i="5"/>
  <c r="L2" i="5"/>
  <c r="O6" i="5" l="1"/>
  <c r="O7" i="5"/>
  <c r="L62" i="1"/>
  <c r="O9" i="5" s="1"/>
  <c r="O8" i="5"/>
  <c r="L82" i="1" l="1"/>
  <c r="O10" i="5"/>
  <c r="L102" i="1"/>
  <c r="O11" i="5"/>
  <c r="O13" i="5" l="1"/>
  <c r="L122" i="1"/>
  <c r="O12" i="5"/>
  <c r="O14" i="5" l="1"/>
  <c r="L142" i="1"/>
  <c r="O15" i="5"/>
  <c r="O17" i="5" l="1"/>
  <c r="L162" i="1"/>
  <c r="O16" i="5"/>
  <c r="O19" i="5" l="1"/>
  <c r="O18" i="5"/>
  <c r="L182" i="1"/>
  <c r="O21" i="5" l="1"/>
  <c r="O20" i="5"/>
  <c r="L202" i="1"/>
  <c r="O22" i="5" l="1"/>
  <c r="L222" i="1"/>
  <c r="O23" i="5"/>
  <c r="L242" i="1" l="1"/>
  <c r="O25" i="5"/>
  <c r="O24" i="5"/>
  <c r="O27" i="5" l="1"/>
  <c r="O26" i="5"/>
  <c r="L262" i="1"/>
  <c r="O28" i="5" l="1"/>
  <c r="O29" i="5"/>
  <c r="L282" i="1"/>
  <c r="O30" i="5" l="1"/>
  <c r="L302" i="1"/>
  <c r="O31" i="5"/>
  <c r="O32" i="5" l="1"/>
  <c r="L322" i="1"/>
  <c r="O33" i="5"/>
  <c r="O35" i="5" l="1"/>
  <c r="O34" i="5"/>
  <c r="L342" i="1"/>
  <c r="O37" i="5" l="1"/>
  <c r="L362" i="1"/>
  <c r="O36" i="5"/>
  <c r="O38" i="5" l="1"/>
  <c r="L382" i="1"/>
  <c r="O39" i="5"/>
  <c r="O40" i="5" l="1"/>
  <c r="O41" i="5"/>
  <c r="L402" i="1"/>
  <c r="L422" i="1" l="1"/>
  <c r="O43" i="5"/>
  <c r="O42" i="5"/>
  <c r="O45" i="5" l="1"/>
  <c r="O44" i="5"/>
  <c r="L442" i="1"/>
  <c r="O46" i="5" l="1"/>
  <c r="O47" i="5"/>
  <c r="L462" i="1"/>
  <c r="O48" i="5" l="1"/>
  <c r="O49" i="5"/>
</calcChain>
</file>

<file path=xl/sharedStrings.xml><?xml version="1.0" encoding="utf-8"?>
<sst xmlns="http://schemas.openxmlformats.org/spreadsheetml/2006/main" count="6070" uniqueCount="93">
  <si>
    <t>Track</t>
  </si>
  <si>
    <t>Position</t>
  </si>
  <si>
    <t>No</t>
  </si>
  <si>
    <t>Driver</t>
  </si>
  <si>
    <t>Team</t>
  </si>
  <si>
    <t>Starting Grid</t>
  </si>
  <si>
    <t>Laps</t>
  </si>
  <si>
    <t>Time/Retired</t>
  </si>
  <si>
    <t>Points</t>
  </si>
  <si>
    <t>Set Fastest Lap</t>
  </si>
  <si>
    <t>Fastest Lap Time</t>
  </si>
  <si>
    <t>Bahrain</t>
  </si>
  <si>
    <t>Max Verstappen</t>
  </si>
  <si>
    <t>Red Bull Racing Honda RBPT</t>
  </si>
  <si>
    <t>Yes</t>
  </si>
  <si>
    <t>Sergio Perez</t>
  </si>
  <si>
    <t>Carlos Sainz</t>
  </si>
  <si>
    <t>Ferrari</t>
  </si>
  <si>
    <t>Charles Leclerc</t>
  </si>
  <si>
    <t>George Russell</t>
  </si>
  <si>
    <t>Mercedes</t>
  </si>
  <si>
    <t>Lando Norris</t>
  </si>
  <si>
    <t>McLaren Mercedes</t>
  </si>
  <si>
    <t>Lewis Hamilton</t>
  </si>
  <si>
    <t>Oscar Piastri</t>
  </si>
  <si>
    <t>Fernando Alonso</t>
  </si>
  <si>
    <t>Aston Martin Aramco Mercedes</t>
  </si>
  <si>
    <t>Lance Stroll</t>
  </si>
  <si>
    <t>Guanyu Zhou</t>
  </si>
  <si>
    <t>Kick Sauber Ferrari</t>
  </si>
  <si>
    <t>+1 lap</t>
  </si>
  <si>
    <t>Kevin Magnussen</t>
  </si>
  <si>
    <t>Haas Ferrari</t>
  </si>
  <si>
    <t>Daniel Ricciardo</t>
  </si>
  <si>
    <t>RB Honda RBPT</t>
  </si>
  <si>
    <t>Yuki Tsunoda</t>
  </si>
  <si>
    <t>Alexander Albon</t>
  </si>
  <si>
    <t>Williams Mercedes</t>
  </si>
  <si>
    <t>Nico Hulkenberg</t>
  </si>
  <si>
    <t>Esteban Ocon</t>
  </si>
  <si>
    <t>Alpine Renault</t>
  </si>
  <si>
    <t>Pierre Gasly</t>
  </si>
  <si>
    <t>Valtteri Bottas</t>
  </si>
  <si>
    <t>Logan Sargeant</t>
  </si>
  <si>
    <t>+2 laps</t>
  </si>
  <si>
    <t>Saudi Arabia</t>
  </si>
  <si>
    <t>Oliver Bearman</t>
  </si>
  <si>
    <t>NC</t>
  </si>
  <si>
    <t>DNF</t>
  </si>
  <si>
    <t>Australia</t>
  </si>
  <si>
    <t>Japan</t>
  </si>
  <si>
    <t>China</t>
  </si>
  <si>
    <t>Miami</t>
  </si>
  <si>
    <t>Emilia Romagna</t>
  </si>
  <si>
    <t>Monaco</t>
  </si>
  <si>
    <t>Canada</t>
  </si>
  <si>
    <t>Spain</t>
  </si>
  <si>
    <t>Austria</t>
  </si>
  <si>
    <t>+7 laps</t>
  </si>
  <si>
    <t>Great Britain</t>
  </si>
  <si>
    <t>DNS</t>
  </si>
  <si>
    <t>Hungary</t>
  </si>
  <si>
    <t>Belgium</t>
  </si>
  <si>
    <t>DQ</t>
  </si>
  <si>
    <t>Netherlands</t>
  </si>
  <si>
    <t>Italy</t>
  </si>
  <si>
    <t>Franco Colapinto</t>
  </si>
  <si>
    <t>Azerbaijan</t>
  </si>
  <si>
    <t>Singapore</t>
  </si>
  <si>
    <t>United States</t>
  </si>
  <si>
    <t>Liam Lawson</t>
  </si>
  <si>
    <t>Mexico</t>
  </si>
  <si>
    <t>Brazil</t>
  </si>
  <si>
    <t>DSQ</t>
  </si>
  <si>
    <t>Las Vegas</t>
  </si>
  <si>
    <t>Qatar</t>
  </si>
  <si>
    <t>Abu Dhabi</t>
  </si>
  <si>
    <t>Jack Doohan</t>
  </si>
  <si>
    <t>Red Bull Points</t>
  </si>
  <si>
    <t>Teams</t>
  </si>
  <si>
    <t>Q1</t>
  </si>
  <si>
    <t>Q2</t>
  </si>
  <si>
    <t>Q3</t>
  </si>
  <si>
    <t>Q4</t>
  </si>
  <si>
    <t>Quarters</t>
  </si>
  <si>
    <t>Cummulative Points</t>
  </si>
  <si>
    <t>Hypothetical Driver</t>
  </si>
  <si>
    <t>Track Index</t>
  </si>
  <si>
    <t>Cum points PvM</t>
  </si>
  <si>
    <t>Cum Points MvH</t>
  </si>
  <si>
    <t>Alfa Romeo Ferrari</t>
  </si>
  <si>
    <t>AlphaTauri Honda RBPT</t>
  </si>
  <si>
    <t>Nyck De Vries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</si>
</sst>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5637-D864-4ED6-A826-0E391AC905ED}">
  <dimension ref="A1:L441"/>
  <sheetViews>
    <sheetView zoomScale="80" workbookViewId="0">
      <selection activeCell="F18" sqref="F18"/>
    </sheetView>
  </sheetViews>
  <sheetFormatPr defaultRowHeight="14.4" x14ac:dyDescent="0.3"/>
  <cols>
    <col min="1" max="1" width="12.44140625" bestFit="1" customWidth="1"/>
    <col min="2" max="2" width="7.88671875" bestFit="1" customWidth="1"/>
    <col min="3" max="3" width="3.5546875" bestFit="1" customWidth="1"/>
    <col min="4" max="4" width="15.5546875" bestFit="1" customWidth="1"/>
    <col min="5" max="5" width="27.88671875" bestFit="1" customWidth="1"/>
    <col min="6" max="6" width="11.77734375" bestFit="1" customWidth="1"/>
    <col min="7" max="7" width="5" bestFit="1" customWidth="1"/>
    <col min="8" max="8" width="12.109375" bestFit="1" customWidth="1"/>
    <col min="9" max="9" width="6.33203125" bestFit="1" customWidth="1"/>
    <col min="10" max="10" width="14" bestFit="1" customWidth="1"/>
    <col min="11" max="11" width="15.2187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</row>
    <row r="2" spans="1:12" x14ac:dyDescent="0.3">
      <c r="A2" t="s">
        <v>11</v>
      </c>
      <c r="B2">
        <v>1</v>
      </c>
      <c r="C2">
        <v>1</v>
      </c>
      <c r="D2" t="s">
        <v>12</v>
      </c>
      <c r="E2" t="s">
        <v>13</v>
      </c>
      <c r="F2">
        <v>1</v>
      </c>
      <c r="G2">
        <v>57</v>
      </c>
      <c r="H2" s="1">
        <v>6.5239999999999992E-2</v>
      </c>
      <c r="I2">
        <v>25</v>
      </c>
      <c r="J2" t="s">
        <v>2</v>
      </c>
      <c r="K2" s="1">
        <v>1.1138425925925925E-3</v>
      </c>
      <c r="L2">
        <v>1</v>
      </c>
    </row>
    <row r="3" spans="1:12" x14ac:dyDescent="0.3">
      <c r="A3" t="s">
        <v>11</v>
      </c>
      <c r="B3">
        <v>2</v>
      </c>
      <c r="C3">
        <v>11</v>
      </c>
      <c r="D3" t="s">
        <v>15</v>
      </c>
      <c r="E3" t="s">
        <v>13</v>
      </c>
      <c r="F3">
        <v>2</v>
      </c>
      <c r="G3">
        <v>57</v>
      </c>
      <c r="H3">
        <v>11.987</v>
      </c>
      <c r="I3">
        <v>18</v>
      </c>
      <c r="J3" t="s">
        <v>2</v>
      </c>
      <c r="K3" s="1">
        <v>1.1150925925925924E-3</v>
      </c>
      <c r="L3">
        <v>1</v>
      </c>
    </row>
    <row r="4" spans="1:12" x14ac:dyDescent="0.3">
      <c r="A4" t="s">
        <v>11</v>
      </c>
      <c r="B4">
        <v>3</v>
      </c>
      <c r="C4">
        <v>14</v>
      </c>
      <c r="D4" t="s">
        <v>25</v>
      </c>
      <c r="E4" t="s">
        <v>26</v>
      </c>
      <c r="F4">
        <v>5</v>
      </c>
      <c r="G4">
        <v>57</v>
      </c>
      <c r="H4">
        <v>38.637</v>
      </c>
      <c r="I4">
        <v>15</v>
      </c>
      <c r="J4" t="s">
        <v>2</v>
      </c>
      <c r="K4" s="1">
        <v>1.1129166666666668E-3</v>
      </c>
      <c r="L4">
        <v>1</v>
      </c>
    </row>
    <row r="5" spans="1:12" x14ac:dyDescent="0.3">
      <c r="A5" t="s">
        <v>11</v>
      </c>
      <c r="B5">
        <v>4</v>
      </c>
      <c r="C5">
        <v>55</v>
      </c>
      <c r="D5" t="s">
        <v>16</v>
      </c>
      <c r="E5" t="s">
        <v>17</v>
      </c>
      <c r="F5">
        <v>4</v>
      </c>
      <c r="G5">
        <v>57</v>
      </c>
      <c r="H5">
        <v>48.052</v>
      </c>
      <c r="I5">
        <v>12</v>
      </c>
      <c r="J5" t="s">
        <v>2</v>
      </c>
      <c r="K5" s="1">
        <v>1.1241898148148148E-3</v>
      </c>
      <c r="L5">
        <v>1</v>
      </c>
    </row>
    <row r="6" spans="1:12" x14ac:dyDescent="0.3">
      <c r="A6" t="s">
        <v>11</v>
      </c>
      <c r="B6">
        <v>5</v>
      </c>
      <c r="C6">
        <v>44</v>
      </c>
      <c r="D6" t="s">
        <v>23</v>
      </c>
      <c r="E6" t="s">
        <v>20</v>
      </c>
      <c r="F6">
        <v>7</v>
      </c>
      <c r="G6">
        <v>57</v>
      </c>
      <c r="H6">
        <v>50.976999999999997</v>
      </c>
      <c r="I6">
        <v>10</v>
      </c>
      <c r="J6" t="s">
        <v>2</v>
      </c>
      <c r="K6" s="1">
        <v>1.1174305555555555E-3</v>
      </c>
      <c r="L6">
        <v>1</v>
      </c>
    </row>
    <row r="7" spans="1:12" x14ac:dyDescent="0.3">
      <c r="A7" t="s">
        <v>11</v>
      </c>
      <c r="B7">
        <v>6</v>
      </c>
      <c r="C7">
        <v>18</v>
      </c>
      <c r="D7" t="s">
        <v>27</v>
      </c>
      <c r="E7" t="s">
        <v>26</v>
      </c>
      <c r="F7">
        <v>8</v>
      </c>
      <c r="G7">
        <v>57</v>
      </c>
      <c r="H7">
        <v>54.502000000000002</v>
      </c>
      <c r="I7">
        <v>8</v>
      </c>
      <c r="J7" t="s">
        <v>2</v>
      </c>
      <c r="K7" s="1">
        <v>1.1174305555555555E-3</v>
      </c>
      <c r="L7">
        <v>1</v>
      </c>
    </row>
    <row r="8" spans="1:12" x14ac:dyDescent="0.3">
      <c r="A8" t="s">
        <v>11</v>
      </c>
      <c r="B8">
        <v>7</v>
      </c>
      <c r="C8">
        <v>63</v>
      </c>
      <c r="D8" t="s">
        <v>19</v>
      </c>
      <c r="E8" t="s">
        <v>20</v>
      </c>
      <c r="F8">
        <v>6</v>
      </c>
      <c r="G8">
        <v>57</v>
      </c>
      <c r="H8">
        <v>55.872999999999998</v>
      </c>
      <c r="I8">
        <v>6</v>
      </c>
      <c r="J8" t="s">
        <v>2</v>
      </c>
      <c r="K8" s="1">
        <v>1.1252430555555555E-3</v>
      </c>
      <c r="L8">
        <v>1</v>
      </c>
    </row>
    <row r="9" spans="1:12" x14ac:dyDescent="0.3">
      <c r="A9" t="s">
        <v>11</v>
      </c>
      <c r="B9">
        <v>8</v>
      </c>
      <c r="C9">
        <v>77</v>
      </c>
      <c r="D9" t="s">
        <v>42</v>
      </c>
      <c r="E9" t="s">
        <v>90</v>
      </c>
      <c r="F9">
        <v>12</v>
      </c>
      <c r="G9">
        <v>57</v>
      </c>
      <c r="H9">
        <v>72.647000000000006</v>
      </c>
      <c r="I9">
        <v>4</v>
      </c>
      <c r="J9" t="s">
        <v>2</v>
      </c>
      <c r="K9" s="1">
        <v>1.1270717592592591E-3</v>
      </c>
      <c r="L9">
        <v>1</v>
      </c>
    </row>
    <row r="10" spans="1:12" x14ac:dyDescent="0.3">
      <c r="A10" t="s">
        <v>11</v>
      </c>
      <c r="B10">
        <v>9</v>
      </c>
      <c r="C10">
        <v>10</v>
      </c>
      <c r="D10" t="s">
        <v>41</v>
      </c>
      <c r="E10" t="s">
        <v>40</v>
      </c>
      <c r="F10">
        <v>20</v>
      </c>
      <c r="G10">
        <v>57</v>
      </c>
      <c r="H10">
        <v>73.753</v>
      </c>
      <c r="I10">
        <v>2</v>
      </c>
      <c r="J10" t="s">
        <v>2</v>
      </c>
      <c r="K10" s="1">
        <v>1.1003240740740741E-3</v>
      </c>
      <c r="L10">
        <v>1</v>
      </c>
    </row>
    <row r="11" spans="1:12" x14ac:dyDescent="0.3">
      <c r="A11" t="s">
        <v>11</v>
      </c>
      <c r="B11">
        <v>10</v>
      </c>
      <c r="C11">
        <v>23</v>
      </c>
      <c r="D11" t="s">
        <v>36</v>
      </c>
      <c r="E11" t="s">
        <v>37</v>
      </c>
      <c r="F11">
        <v>15</v>
      </c>
      <c r="G11">
        <v>57</v>
      </c>
      <c r="H11">
        <v>89.774000000000001</v>
      </c>
      <c r="I11">
        <v>1</v>
      </c>
      <c r="J11" t="s">
        <v>2</v>
      </c>
      <c r="K11" s="1">
        <v>1.1243518518518519E-3</v>
      </c>
      <c r="L11">
        <v>1</v>
      </c>
    </row>
    <row r="12" spans="1:12" x14ac:dyDescent="0.3">
      <c r="A12" t="s">
        <v>11</v>
      </c>
      <c r="B12">
        <v>11</v>
      </c>
      <c r="C12">
        <v>22</v>
      </c>
      <c r="D12" t="s">
        <v>35</v>
      </c>
      <c r="E12" t="s">
        <v>91</v>
      </c>
      <c r="F12">
        <v>14</v>
      </c>
      <c r="G12">
        <v>57</v>
      </c>
      <c r="H12">
        <v>90.87</v>
      </c>
      <c r="I12">
        <v>0</v>
      </c>
      <c r="J12" t="s">
        <v>2</v>
      </c>
      <c r="K12" s="1">
        <v>1.1184837962962962E-3</v>
      </c>
      <c r="L12">
        <v>1</v>
      </c>
    </row>
    <row r="13" spans="1:12" x14ac:dyDescent="0.3">
      <c r="A13" t="s">
        <v>11</v>
      </c>
      <c r="B13">
        <v>12</v>
      </c>
      <c r="C13">
        <v>2</v>
      </c>
      <c r="D13" t="s">
        <v>43</v>
      </c>
      <c r="E13" t="s">
        <v>37</v>
      </c>
      <c r="F13">
        <v>16</v>
      </c>
      <c r="G13">
        <v>56</v>
      </c>
      <c r="H13" t="s">
        <v>30</v>
      </c>
      <c r="I13">
        <v>0</v>
      </c>
      <c r="J13" t="s">
        <v>2</v>
      </c>
      <c r="K13" s="1">
        <v>1.1115393518518518E-3</v>
      </c>
      <c r="L13">
        <v>1</v>
      </c>
    </row>
    <row r="14" spans="1:12" x14ac:dyDescent="0.3">
      <c r="A14" t="s">
        <v>11</v>
      </c>
      <c r="B14">
        <v>13</v>
      </c>
      <c r="C14">
        <v>20</v>
      </c>
      <c r="D14" t="s">
        <v>31</v>
      </c>
      <c r="E14" t="s">
        <v>32</v>
      </c>
      <c r="F14">
        <v>17</v>
      </c>
      <c r="G14">
        <v>56</v>
      </c>
      <c r="H14" t="s">
        <v>30</v>
      </c>
      <c r="I14">
        <v>0</v>
      </c>
      <c r="J14" t="s">
        <v>2</v>
      </c>
      <c r="K14" s="1">
        <v>1.1165625000000002E-3</v>
      </c>
      <c r="L14">
        <v>1</v>
      </c>
    </row>
    <row r="15" spans="1:12" x14ac:dyDescent="0.3">
      <c r="A15" t="s">
        <v>11</v>
      </c>
      <c r="B15">
        <v>14</v>
      </c>
      <c r="C15">
        <v>21</v>
      </c>
      <c r="D15" t="s">
        <v>92</v>
      </c>
      <c r="E15" t="s">
        <v>91</v>
      </c>
      <c r="F15">
        <v>19</v>
      </c>
      <c r="G15">
        <v>56</v>
      </c>
      <c r="H15" t="s">
        <v>30</v>
      </c>
      <c r="I15">
        <v>0</v>
      </c>
      <c r="J15" t="s">
        <v>2</v>
      </c>
      <c r="K15" s="1">
        <v>1.1308912037037038E-3</v>
      </c>
      <c r="L15">
        <v>1</v>
      </c>
    </row>
    <row r="16" spans="1:12" x14ac:dyDescent="0.3">
      <c r="A16" t="s">
        <v>11</v>
      </c>
      <c r="B16">
        <v>15</v>
      </c>
      <c r="C16">
        <v>27</v>
      </c>
      <c r="D16" t="s">
        <v>38</v>
      </c>
      <c r="E16" t="s">
        <v>32</v>
      </c>
      <c r="F16">
        <v>10</v>
      </c>
      <c r="G16">
        <v>56</v>
      </c>
      <c r="H16" t="s">
        <v>30</v>
      </c>
      <c r="I16">
        <v>0</v>
      </c>
      <c r="J16" t="s">
        <v>2</v>
      </c>
      <c r="K16" s="1">
        <v>1.1182407407407408E-3</v>
      </c>
      <c r="L16">
        <v>1</v>
      </c>
    </row>
    <row r="17" spans="1:12" x14ac:dyDescent="0.3">
      <c r="A17" t="s">
        <v>11</v>
      </c>
      <c r="B17">
        <v>16</v>
      </c>
      <c r="C17">
        <v>24</v>
      </c>
      <c r="D17" t="s">
        <v>28</v>
      </c>
      <c r="E17" t="s">
        <v>90</v>
      </c>
      <c r="F17">
        <v>13</v>
      </c>
      <c r="G17">
        <v>56</v>
      </c>
      <c r="H17" t="s">
        <v>30</v>
      </c>
      <c r="I17">
        <v>0</v>
      </c>
      <c r="J17" t="s">
        <v>14</v>
      </c>
      <c r="K17" s="1">
        <v>1.0879166666666667E-3</v>
      </c>
      <c r="L17">
        <v>1</v>
      </c>
    </row>
    <row r="18" spans="1:12" x14ac:dyDescent="0.3">
      <c r="A18" t="s">
        <v>11</v>
      </c>
      <c r="B18">
        <v>17</v>
      </c>
      <c r="C18">
        <v>4</v>
      </c>
      <c r="D18" t="s">
        <v>21</v>
      </c>
      <c r="E18" t="s">
        <v>22</v>
      </c>
      <c r="F18">
        <v>11</v>
      </c>
      <c r="G18">
        <v>55</v>
      </c>
      <c r="H18" t="s">
        <v>44</v>
      </c>
      <c r="I18">
        <v>0</v>
      </c>
      <c r="J18" t="s">
        <v>2</v>
      </c>
      <c r="K18" s="1">
        <v>1.1090509259259259E-3</v>
      </c>
      <c r="L18">
        <v>1</v>
      </c>
    </row>
    <row r="19" spans="1:12" x14ac:dyDescent="0.3">
      <c r="A19" t="s">
        <v>11</v>
      </c>
      <c r="B19" t="s">
        <v>47</v>
      </c>
      <c r="C19">
        <v>31</v>
      </c>
      <c r="D19" t="s">
        <v>39</v>
      </c>
      <c r="E19" t="s">
        <v>40</v>
      </c>
      <c r="F19">
        <v>9</v>
      </c>
      <c r="G19">
        <v>41</v>
      </c>
      <c r="H19" t="s">
        <v>48</v>
      </c>
      <c r="I19">
        <v>0</v>
      </c>
      <c r="J19" t="s">
        <v>2</v>
      </c>
      <c r="K19" s="1">
        <v>1.1203356481481481E-3</v>
      </c>
      <c r="L19">
        <v>1</v>
      </c>
    </row>
    <row r="20" spans="1:12" x14ac:dyDescent="0.3">
      <c r="A20" t="s">
        <v>11</v>
      </c>
      <c r="B20" t="s">
        <v>47</v>
      </c>
      <c r="C20">
        <v>16</v>
      </c>
      <c r="D20" t="s">
        <v>18</v>
      </c>
      <c r="E20" t="s">
        <v>17</v>
      </c>
      <c r="F20">
        <v>3</v>
      </c>
      <c r="G20">
        <v>39</v>
      </c>
      <c r="H20" t="s">
        <v>48</v>
      </c>
      <c r="I20">
        <v>0</v>
      </c>
      <c r="J20" t="s">
        <v>2</v>
      </c>
      <c r="K20" s="1">
        <v>1.1246527777777778E-3</v>
      </c>
      <c r="L20">
        <v>1</v>
      </c>
    </row>
    <row r="21" spans="1:12" x14ac:dyDescent="0.3">
      <c r="A21" t="s">
        <v>11</v>
      </c>
      <c r="B21" t="s">
        <v>47</v>
      </c>
      <c r="C21">
        <v>81</v>
      </c>
      <c r="D21" t="s">
        <v>24</v>
      </c>
      <c r="E21" t="s">
        <v>22</v>
      </c>
      <c r="F21">
        <v>18</v>
      </c>
      <c r="G21">
        <v>13</v>
      </c>
      <c r="H21" t="s">
        <v>48</v>
      </c>
      <c r="I21">
        <v>0</v>
      </c>
      <c r="J21" t="s">
        <v>2</v>
      </c>
      <c r="K21" s="1">
        <v>1.1654050925925927E-3</v>
      </c>
      <c r="L21">
        <v>1</v>
      </c>
    </row>
    <row r="22" spans="1:12" x14ac:dyDescent="0.3">
      <c r="A22" t="s">
        <v>45</v>
      </c>
      <c r="B22">
        <v>1</v>
      </c>
      <c r="C22">
        <v>11</v>
      </c>
      <c r="D22" t="s">
        <v>15</v>
      </c>
      <c r="E22" t="s">
        <v>13</v>
      </c>
      <c r="F22">
        <v>1</v>
      </c>
      <c r="G22">
        <v>50</v>
      </c>
      <c r="H22" s="1">
        <v>5.6422384259259259E-2</v>
      </c>
      <c r="I22">
        <v>25</v>
      </c>
      <c r="J22" t="s">
        <v>2</v>
      </c>
      <c r="K22" s="1">
        <v>1.0669907407407407E-3</v>
      </c>
      <c r="L22">
        <f>L2+1</f>
        <v>2</v>
      </c>
    </row>
    <row r="23" spans="1:12" x14ac:dyDescent="0.3">
      <c r="A23" t="s">
        <v>45</v>
      </c>
      <c r="B23">
        <v>2</v>
      </c>
      <c r="C23">
        <v>1</v>
      </c>
      <c r="D23" t="s">
        <v>12</v>
      </c>
      <c r="E23" t="s">
        <v>13</v>
      </c>
      <c r="F23">
        <v>15</v>
      </c>
      <c r="G23">
        <v>50</v>
      </c>
      <c r="H23">
        <v>5.335</v>
      </c>
      <c r="I23">
        <v>19</v>
      </c>
      <c r="J23" t="s">
        <v>14</v>
      </c>
      <c r="K23" s="1">
        <v>1.0637268518518519E-3</v>
      </c>
      <c r="L23">
        <f t="shared" ref="L23:L86" si="0">L3+1</f>
        <v>2</v>
      </c>
    </row>
    <row r="24" spans="1:12" x14ac:dyDescent="0.3">
      <c r="A24" t="s">
        <v>45</v>
      </c>
      <c r="B24">
        <v>3</v>
      </c>
      <c r="C24">
        <v>14</v>
      </c>
      <c r="D24" t="s">
        <v>25</v>
      </c>
      <c r="E24" t="s">
        <v>26</v>
      </c>
      <c r="F24">
        <v>2</v>
      </c>
      <c r="G24">
        <v>50</v>
      </c>
      <c r="H24">
        <v>20.728000000000002</v>
      </c>
      <c r="I24">
        <v>15</v>
      </c>
      <c r="J24" t="s">
        <v>2</v>
      </c>
      <c r="K24" s="1">
        <v>1.0675925925925926E-3</v>
      </c>
      <c r="L24">
        <f t="shared" si="0"/>
        <v>2</v>
      </c>
    </row>
    <row r="25" spans="1:12" x14ac:dyDescent="0.3">
      <c r="A25" t="s">
        <v>45</v>
      </c>
      <c r="B25">
        <v>4</v>
      </c>
      <c r="C25">
        <v>63</v>
      </c>
      <c r="D25" t="s">
        <v>19</v>
      </c>
      <c r="E25" t="s">
        <v>20</v>
      </c>
      <c r="F25">
        <v>3</v>
      </c>
      <c r="G25">
        <v>50</v>
      </c>
      <c r="H25">
        <v>25.866</v>
      </c>
      <c r="I25">
        <v>12</v>
      </c>
      <c r="J25" t="s">
        <v>2</v>
      </c>
      <c r="K25" s="1">
        <v>1.0698263888888888E-3</v>
      </c>
      <c r="L25">
        <f t="shared" si="0"/>
        <v>2</v>
      </c>
    </row>
    <row r="26" spans="1:12" x14ac:dyDescent="0.3">
      <c r="A26" t="s">
        <v>45</v>
      </c>
      <c r="B26">
        <v>5</v>
      </c>
      <c r="C26">
        <v>44</v>
      </c>
      <c r="D26" t="s">
        <v>23</v>
      </c>
      <c r="E26" t="s">
        <v>20</v>
      </c>
      <c r="F26">
        <v>7</v>
      </c>
      <c r="G26">
        <v>50</v>
      </c>
      <c r="H26">
        <v>31.065000000000001</v>
      </c>
      <c r="I26">
        <v>10</v>
      </c>
      <c r="J26" t="s">
        <v>2</v>
      </c>
      <c r="K26" s="1">
        <v>1.0757060185185186E-3</v>
      </c>
      <c r="L26">
        <f t="shared" si="0"/>
        <v>2</v>
      </c>
    </row>
    <row r="27" spans="1:12" x14ac:dyDescent="0.3">
      <c r="A27" t="s">
        <v>45</v>
      </c>
      <c r="B27">
        <v>6</v>
      </c>
      <c r="C27">
        <v>55</v>
      </c>
      <c r="D27" t="s">
        <v>16</v>
      </c>
      <c r="E27" t="s">
        <v>17</v>
      </c>
      <c r="F27">
        <v>4</v>
      </c>
      <c r="G27">
        <v>50</v>
      </c>
      <c r="H27">
        <v>35.875999999999998</v>
      </c>
      <c r="I27">
        <v>8</v>
      </c>
      <c r="J27" t="s">
        <v>2</v>
      </c>
      <c r="K27" s="1">
        <v>1.0743287037037036E-3</v>
      </c>
      <c r="L27">
        <f t="shared" si="0"/>
        <v>2</v>
      </c>
    </row>
    <row r="28" spans="1:12" x14ac:dyDescent="0.3">
      <c r="A28" t="s">
        <v>45</v>
      </c>
      <c r="B28">
        <v>7</v>
      </c>
      <c r="C28">
        <v>16</v>
      </c>
      <c r="D28" t="s">
        <v>18</v>
      </c>
      <c r="E28" t="s">
        <v>17</v>
      </c>
      <c r="F28">
        <v>12</v>
      </c>
      <c r="G28">
        <v>50</v>
      </c>
      <c r="H28">
        <v>43.161999999999999</v>
      </c>
      <c r="I28">
        <v>6</v>
      </c>
      <c r="J28" t="s">
        <v>2</v>
      </c>
      <c r="K28" s="1">
        <v>1.0770370370370369E-3</v>
      </c>
      <c r="L28">
        <f t="shared" si="0"/>
        <v>2</v>
      </c>
    </row>
    <row r="29" spans="1:12" x14ac:dyDescent="0.3">
      <c r="A29" t="s">
        <v>45</v>
      </c>
      <c r="B29">
        <v>8</v>
      </c>
      <c r="C29">
        <v>31</v>
      </c>
      <c r="D29" t="s">
        <v>39</v>
      </c>
      <c r="E29" t="s">
        <v>40</v>
      </c>
      <c r="F29">
        <v>6</v>
      </c>
      <c r="G29">
        <v>50</v>
      </c>
      <c r="H29">
        <v>52.832000000000001</v>
      </c>
      <c r="I29">
        <v>4</v>
      </c>
      <c r="J29" t="s">
        <v>2</v>
      </c>
      <c r="K29" s="1">
        <v>1.0789583333333335E-3</v>
      </c>
      <c r="L29">
        <f t="shared" si="0"/>
        <v>2</v>
      </c>
    </row>
    <row r="30" spans="1:12" x14ac:dyDescent="0.3">
      <c r="A30" t="s">
        <v>45</v>
      </c>
      <c r="B30">
        <v>9</v>
      </c>
      <c r="C30">
        <v>10</v>
      </c>
      <c r="D30" t="s">
        <v>41</v>
      </c>
      <c r="E30" t="s">
        <v>40</v>
      </c>
      <c r="F30">
        <v>9</v>
      </c>
      <c r="G30">
        <v>50</v>
      </c>
      <c r="H30">
        <v>54.747</v>
      </c>
      <c r="I30">
        <v>2</v>
      </c>
      <c r="J30" t="s">
        <v>2</v>
      </c>
      <c r="K30" s="1">
        <v>1.0809259259259259E-3</v>
      </c>
      <c r="L30">
        <f t="shared" si="0"/>
        <v>2</v>
      </c>
    </row>
    <row r="31" spans="1:12" x14ac:dyDescent="0.3">
      <c r="A31" t="s">
        <v>45</v>
      </c>
      <c r="B31">
        <v>10</v>
      </c>
      <c r="C31">
        <v>20</v>
      </c>
      <c r="D31" t="s">
        <v>31</v>
      </c>
      <c r="E31" t="s">
        <v>32</v>
      </c>
      <c r="F31">
        <v>13</v>
      </c>
      <c r="G31">
        <v>50</v>
      </c>
      <c r="H31">
        <v>64.825999999999993</v>
      </c>
      <c r="I31">
        <v>1</v>
      </c>
      <c r="J31" t="s">
        <v>2</v>
      </c>
      <c r="K31" s="1">
        <v>1.0807175925925925E-3</v>
      </c>
      <c r="L31">
        <f t="shared" si="0"/>
        <v>2</v>
      </c>
    </row>
    <row r="32" spans="1:12" x14ac:dyDescent="0.3">
      <c r="A32" t="s">
        <v>45</v>
      </c>
      <c r="B32">
        <v>11</v>
      </c>
      <c r="C32">
        <v>22</v>
      </c>
      <c r="D32" t="s">
        <v>35</v>
      </c>
      <c r="E32" t="s">
        <v>91</v>
      </c>
      <c r="F32">
        <v>16</v>
      </c>
      <c r="G32">
        <v>50</v>
      </c>
      <c r="H32">
        <v>67.494</v>
      </c>
      <c r="I32">
        <v>0</v>
      </c>
      <c r="J32" t="s">
        <v>2</v>
      </c>
      <c r="K32" s="1">
        <v>1.0871643518518517E-3</v>
      </c>
      <c r="L32">
        <f t="shared" si="0"/>
        <v>2</v>
      </c>
    </row>
    <row r="33" spans="1:12" x14ac:dyDescent="0.3">
      <c r="A33" t="s">
        <v>45</v>
      </c>
      <c r="B33">
        <v>12</v>
      </c>
      <c r="C33">
        <v>27</v>
      </c>
      <c r="D33" t="s">
        <v>38</v>
      </c>
      <c r="E33" t="s">
        <v>32</v>
      </c>
      <c r="F33">
        <v>10</v>
      </c>
      <c r="G33">
        <v>50</v>
      </c>
      <c r="H33">
        <v>70.587999999999994</v>
      </c>
      <c r="I33">
        <v>0</v>
      </c>
      <c r="J33" t="s">
        <v>2</v>
      </c>
      <c r="K33" s="1">
        <v>1.0854166666666666E-3</v>
      </c>
      <c r="L33">
        <f t="shared" si="0"/>
        <v>2</v>
      </c>
    </row>
    <row r="34" spans="1:12" x14ac:dyDescent="0.3">
      <c r="A34" t="s">
        <v>45</v>
      </c>
      <c r="B34">
        <v>13</v>
      </c>
      <c r="C34">
        <v>24</v>
      </c>
      <c r="D34" t="s">
        <v>28</v>
      </c>
      <c r="E34" t="s">
        <v>90</v>
      </c>
      <c r="F34">
        <v>11</v>
      </c>
      <c r="G34">
        <v>50</v>
      </c>
      <c r="H34">
        <v>76.06</v>
      </c>
      <c r="I34">
        <v>0</v>
      </c>
      <c r="J34" t="s">
        <v>2</v>
      </c>
      <c r="K34" s="1">
        <v>1.0867361111111112E-3</v>
      </c>
      <c r="L34">
        <f t="shared" si="0"/>
        <v>2</v>
      </c>
    </row>
    <row r="35" spans="1:12" x14ac:dyDescent="0.3">
      <c r="A35" t="s">
        <v>45</v>
      </c>
      <c r="B35">
        <v>14</v>
      </c>
      <c r="C35">
        <v>21</v>
      </c>
      <c r="D35" t="s">
        <v>92</v>
      </c>
      <c r="E35" t="s">
        <v>91</v>
      </c>
      <c r="F35">
        <v>18</v>
      </c>
      <c r="G35">
        <v>50</v>
      </c>
      <c r="H35">
        <v>77.477999999999994</v>
      </c>
      <c r="I35">
        <v>0</v>
      </c>
      <c r="J35" t="s">
        <v>2</v>
      </c>
      <c r="K35" s="1">
        <v>1.0834375000000002E-3</v>
      </c>
      <c r="L35">
        <f t="shared" si="0"/>
        <v>2</v>
      </c>
    </row>
    <row r="36" spans="1:12" x14ac:dyDescent="0.3">
      <c r="A36" t="s">
        <v>45</v>
      </c>
      <c r="B36">
        <v>15</v>
      </c>
      <c r="C36">
        <v>81</v>
      </c>
      <c r="D36" t="s">
        <v>24</v>
      </c>
      <c r="E36" t="s">
        <v>22</v>
      </c>
      <c r="F36">
        <v>8</v>
      </c>
      <c r="G36">
        <v>50</v>
      </c>
      <c r="H36">
        <v>85.021000000000001</v>
      </c>
      <c r="I36">
        <v>0</v>
      </c>
      <c r="J36" t="s">
        <v>2</v>
      </c>
      <c r="K36" s="1">
        <v>1.0912847222222222E-3</v>
      </c>
      <c r="L36">
        <f t="shared" si="0"/>
        <v>2</v>
      </c>
    </row>
    <row r="37" spans="1:12" x14ac:dyDescent="0.3">
      <c r="A37" t="s">
        <v>45</v>
      </c>
      <c r="B37">
        <v>16</v>
      </c>
      <c r="C37">
        <v>2</v>
      </c>
      <c r="D37" t="s">
        <v>43</v>
      </c>
      <c r="E37" t="s">
        <v>37</v>
      </c>
      <c r="F37">
        <v>20</v>
      </c>
      <c r="G37">
        <v>50</v>
      </c>
      <c r="H37">
        <v>86.293000000000006</v>
      </c>
      <c r="I37">
        <v>0</v>
      </c>
      <c r="J37" t="s">
        <v>2</v>
      </c>
      <c r="K37" s="1">
        <v>1.0933912037037036E-3</v>
      </c>
      <c r="L37">
        <f t="shared" si="0"/>
        <v>2</v>
      </c>
    </row>
    <row r="38" spans="1:12" x14ac:dyDescent="0.3">
      <c r="A38" t="s">
        <v>45</v>
      </c>
      <c r="B38">
        <v>17</v>
      </c>
      <c r="C38">
        <v>4</v>
      </c>
      <c r="D38" t="s">
        <v>21</v>
      </c>
      <c r="E38" t="s">
        <v>22</v>
      </c>
      <c r="F38">
        <v>19</v>
      </c>
      <c r="G38">
        <v>50</v>
      </c>
      <c r="H38">
        <v>86.444999999999993</v>
      </c>
      <c r="I38">
        <v>0</v>
      </c>
      <c r="J38" t="s">
        <v>2</v>
      </c>
      <c r="K38" s="1">
        <v>1.0893750000000001E-3</v>
      </c>
      <c r="L38">
        <f t="shared" si="0"/>
        <v>2</v>
      </c>
    </row>
    <row r="39" spans="1:12" x14ac:dyDescent="0.3">
      <c r="A39" t="s">
        <v>45</v>
      </c>
      <c r="B39">
        <v>18</v>
      </c>
      <c r="C39">
        <v>77</v>
      </c>
      <c r="D39" t="s">
        <v>42</v>
      </c>
      <c r="E39" t="s">
        <v>90</v>
      </c>
      <c r="F39">
        <v>14</v>
      </c>
      <c r="G39">
        <v>49</v>
      </c>
      <c r="H39" t="s">
        <v>30</v>
      </c>
      <c r="I39">
        <v>0</v>
      </c>
      <c r="J39" t="s">
        <v>2</v>
      </c>
      <c r="K39" s="1">
        <v>1.0924074074074074E-3</v>
      </c>
      <c r="L39">
        <f t="shared" si="0"/>
        <v>2</v>
      </c>
    </row>
    <row r="40" spans="1:12" x14ac:dyDescent="0.3">
      <c r="A40" t="s">
        <v>45</v>
      </c>
      <c r="B40" t="s">
        <v>47</v>
      </c>
      <c r="C40">
        <v>23</v>
      </c>
      <c r="D40" t="s">
        <v>36</v>
      </c>
      <c r="E40" t="s">
        <v>37</v>
      </c>
      <c r="F40">
        <v>17</v>
      </c>
      <c r="G40">
        <v>27</v>
      </c>
      <c r="H40" t="s">
        <v>48</v>
      </c>
      <c r="I40">
        <v>0</v>
      </c>
      <c r="J40" t="s">
        <v>2</v>
      </c>
      <c r="K40" s="1">
        <v>1.1060995370370372E-3</v>
      </c>
      <c r="L40">
        <f t="shared" si="0"/>
        <v>2</v>
      </c>
    </row>
    <row r="41" spans="1:12" x14ac:dyDescent="0.3">
      <c r="A41" t="s">
        <v>45</v>
      </c>
      <c r="B41" t="s">
        <v>47</v>
      </c>
      <c r="C41">
        <v>18</v>
      </c>
      <c r="D41" t="s">
        <v>27</v>
      </c>
      <c r="E41" t="s">
        <v>26</v>
      </c>
      <c r="F41">
        <v>5</v>
      </c>
      <c r="G41">
        <v>16</v>
      </c>
      <c r="H41" t="s">
        <v>48</v>
      </c>
      <c r="I41">
        <v>0</v>
      </c>
      <c r="J41" t="s">
        <v>2</v>
      </c>
      <c r="K41" s="1">
        <v>1.1011574074074075E-3</v>
      </c>
      <c r="L41">
        <f t="shared" si="0"/>
        <v>2</v>
      </c>
    </row>
    <row r="42" spans="1:12" x14ac:dyDescent="0.3">
      <c r="A42" t="s">
        <v>49</v>
      </c>
      <c r="B42">
        <v>1</v>
      </c>
      <c r="C42">
        <v>1</v>
      </c>
      <c r="D42" t="s">
        <v>12</v>
      </c>
      <c r="E42" t="s">
        <v>13</v>
      </c>
      <c r="F42">
        <v>1</v>
      </c>
      <c r="G42">
        <v>58</v>
      </c>
      <c r="H42" s="1">
        <v>0.1058839236111111</v>
      </c>
      <c r="I42">
        <v>25</v>
      </c>
      <c r="J42" t="s">
        <v>2</v>
      </c>
      <c r="K42" s="1">
        <v>9.2988425925925921E-4</v>
      </c>
      <c r="L42">
        <f t="shared" si="0"/>
        <v>3</v>
      </c>
    </row>
    <row r="43" spans="1:12" x14ac:dyDescent="0.3">
      <c r="A43" t="s">
        <v>49</v>
      </c>
      <c r="B43">
        <v>2</v>
      </c>
      <c r="C43">
        <v>44</v>
      </c>
      <c r="D43" t="s">
        <v>23</v>
      </c>
      <c r="E43" t="s">
        <v>20</v>
      </c>
      <c r="F43">
        <v>3</v>
      </c>
      <c r="G43">
        <v>58</v>
      </c>
      <c r="H43">
        <v>0.17899999999999999</v>
      </c>
      <c r="I43">
        <v>18</v>
      </c>
      <c r="J43" t="s">
        <v>2</v>
      </c>
      <c r="K43" s="1">
        <v>9.3302083333333334E-4</v>
      </c>
      <c r="L43">
        <f t="shared" si="0"/>
        <v>3</v>
      </c>
    </row>
    <row r="44" spans="1:12" x14ac:dyDescent="0.3">
      <c r="A44" t="s">
        <v>49</v>
      </c>
      <c r="B44">
        <v>3</v>
      </c>
      <c r="C44">
        <v>14</v>
      </c>
      <c r="D44" t="s">
        <v>25</v>
      </c>
      <c r="E44" t="s">
        <v>26</v>
      </c>
      <c r="F44">
        <v>4</v>
      </c>
      <c r="G44">
        <v>58</v>
      </c>
      <c r="H44">
        <v>0.76900000000000002</v>
      </c>
      <c r="I44">
        <v>15</v>
      </c>
      <c r="J44" t="s">
        <v>2</v>
      </c>
      <c r="K44" s="1">
        <v>9.3143518518518521E-4</v>
      </c>
      <c r="L44">
        <f t="shared" si="0"/>
        <v>3</v>
      </c>
    </row>
    <row r="45" spans="1:12" x14ac:dyDescent="0.3">
      <c r="A45" t="s">
        <v>49</v>
      </c>
      <c r="B45">
        <v>4</v>
      </c>
      <c r="C45">
        <v>18</v>
      </c>
      <c r="D45" t="s">
        <v>27</v>
      </c>
      <c r="E45" t="s">
        <v>26</v>
      </c>
      <c r="F45">
        <v>6</v>
      </c>
      <c r="G45">
        <v>58</v>
      </c>
      <c r="H45">
        <v>3.0819999999999999</v>
      </c>
      <c r="I45">
        <v>12</v>
      </c>
      <c r="J45" t="s">
        <v>2</v>
      </c>
      <c r="K45" s="1">
        <v>9.3673611111111106E-4</v>
      </c>
      <c r="L45">
        <f t="shared" si="0"/>
        <v>3</v>
      </c>
    </row>
    <row r="46" spans="1:12" x14ac:dyDescent="0.3">
      <c r="A46" t="s">
        <v>49</v>
      </c>
      <c r="B46">
        <v>5</v>
      </c>
      <c r="C46">
        <v>11</v>
      </c>
      <c r="D46" t="s">
        <v>15</v>
      </c>
      <c r="E46" t="s">
        <v>13</v>
      </c>
      <c r="F46">
        <v>20</v>
      </c>
      <c r="G46">
        <v>58</v>
      </c>
      <c r="H46">
        <v>3.32</v>
      </c>
      <c r="I46">
        <v>11</v>
      </c>
      <c r="J46" t="s">
        <v>14</v>
      </c>
      <c r="K46" s="1">
        <v>9.286458333333333E-4</v>
      </c>
      <c r="L46">
        <f t="shared" si="0"/>
        <v>3</v>
      </c>
    </row>
    <row r="47" spans="1:12" x14ac:dyDescent="0.3">
      <c r="A47" t="s">
        <v>49</v>
      </c>
      <c r="B47">
        <v>6</v>
      </c>
      <c r="C47">
        <v>4</v>
      </c>
      <c r="D47" t="s">
        <v>21</v>
      </c>
      <c r="E47" t="s">
        <v>22</v>
      </c>
      <c r="F47">
        <v>13</v>
      </c>
      <c r="G47">
        <v>58</v>
      </c>
      <c r="H47">
        <v>3.7010000000000001</v>
      </c>
      <c r="I47">
        <v>8</v>
      </c>
      <c r="J47" t="s">
        <v>2</v>
      </c>
      <c r="K47" s="1">
        <v>9.3950231481481489E-4</v>
      </c>
      <c r="L47">
        <f t="shared" si="0"/>
        <v>3</v>
      </c>
    </row>
    <row r="48" spans="1:12" x14ac:dyDescent="0.3">
      <c r="A48" t="s">
        <v>49</v>
      </c>
      <c r="B48">
        <v>7</v>
      </c>
      <c r="C48">
        <v>27</v>
      </c>
      <c r="D48" t="s">
        <v>38</v>
      </c>
      <c r="E48" t="s">
        <v>32</v>
      </c>
      <c r="F48">
        <v>10</v>
      </c>
      <c r="G48">
        <v>58</v>
      </c>
      <c r="H48">
        <v>4.9390000000000001</v>
      </c>
      <c r="I48">
        <v>6</v>
      </c>
      <c r="J48" t="s">
        <v>2</v>
      </c>
      <c r="K48" s="1">
        <v>9.3893518518518512E-4</v>
      </c>
      <c r="L48">
        <f t="shared" si="0"/>
        <v>3</v>
      </c>
    </row>
    <row r="49" spans="1:12" x14ac:dyDescent="0.3">
      <c r="A49" t="s">
        <v>49</v>
      </c>
      <c r="B49">
        <v>8</v>
      </c>
      <c r="C49">
        <v>81</v>
      </c>
      <c r="D49" t="s">
        <v>24</v>
      </c>
      <c r="E49" t="s">
        <v>22</v>
      </c>
      <c r="F49">
        <v>16</v>
      </c>
      <c r="G49">
        <v>58</v>
      </c>
      <c r="H49">
        <v>5.3819999999999997</v>
      </c>
      <c r="I49">
        <v>4</v>
      </c>
      <c r="J49" t="s">
        <v>2</v>
      </c>
      <c r="K49" s="1">
        <v>9.4137731481481492E-4</v>
      </c>
      <c r="L49">
        <f t="shared" si="0"/>
        <v>3</v>
      </c>
    </row>
    <row r="50" spans="1:12" x14ac:dyDescent="0.3">
      <c r="A50" t="s">
        <v>49</v>
      </c>
      <c r="B50">
        <v>9</v>
      </c>
      <c r="C50">
        <v>24</v>
      </c>
      <c r="D50" t="s">
        <v>28</v>
      </c>
      <c r="E50" t="s">
        <v>90</v>
      </c>
      <c r="F50">
        <v>17</v>
      </c>
      <c r="G50">
        <v>58</v>
      </c>
      <c r="H50">
        <v>5.7130000000000001</v>
      </c>
      <c r="I50">
        <v>2</v>
      </c>
      <c r="J50" t="s">
        <v>2</v>
      </c>
      <c r="K50" s="1">
        <v>9.4697916666666672E-4</v>
      </c>
      <c r="L50">
        <f t="shared" si="0"/>
        <v>3</v>
      </c>
    </row>
    <row r="51" spans="1:12" x14ac:dyDescent="0.3">
      <c r="A51" t="s">
        <v>49</v>
      </c>
      <c r="B51">
        <v>10</v>
      </c>
      <c r="C51">
        <v>22</v>
      </c>
      <c r="D51" t="s">
        <v>35</v>
      </c>
      <c r="E51" t="s">
        <v>91</v>
      </c>
      <c r="F51">
        <v>12</v>
      </c>
      <c r="G51">
        <v>58</v>
      </c>
      <c r="H51">
        <v>6.0519999999999996</v>
      </c>
      <c r="I51">
        <v>1</v>
      </c>
      <c r="J51" t="s">
        <v>2</v>
      </c>
      <c r="K51" s="1">
        <v>9.466319444444445E-4</v>
      </c>
      <c r="L51">
        <f t="shared" si="0"/>
        <v>3</v>
      </c>
    </row>
    <row r="52" spans="1:12" x14ac:dyDescent="0.3">
      <c r="A52" t="s">
        <v>49</v>
      </c>
      <c r="B52">
        <v>11</v>
      </c>
      <c r="C52">
        <v>77</v>
      </c>
      <c r="D52" t="s">
        <v>42</v>
      </c>
      <c r="E52" t="s">
        <v>90</v>
      </c>
      <c r="F52">
        <v>19</v>
      </c>
      <c r="G52">
        <v>58</v>
      </c>
      <c r="H52">
        <v>6.5129999999999999</v>
      </c>
      <c r="I52">
        <v>0</v>
      </c>
      <c r="J52" t="s">
        <v>2</v>
      </c>
      <c r="K52" s="1">
        <v>9.5177083333333333E-4</v>
      </c>
      <c r="L52">
        <f t="shared" si="0"/>
        <v>3</v>
      </c>
    </row>
    <row r="53" spans="1:12" x14ac:dyDescent="0.3">
      <c r="A53" t="s">
        <v>49</v>
      </c>
      <c r="B53">
        <v>12</v>
      </c>
      <c r="C53">
        <v>55</v>
      </c>
      <c r="D53" t="s">
        <v>16</v>
      </c>
      <c r="E53" t="s">
        <v>17</v>
      </c>
      <c r="F53">
        <v>5</v>
      </c>
      <c r="G53">
        <v>58</v>
      </c>
      <c r="H53">
        <v>6.5940000000000003</v>
      </c>
      <c r="I53">
        <v>0</v>
      </c>
      <c r="J53" t="s">
        <v>2</v>
      </c>
      <c r="K53" s="1">
        <v>9.3133101851851851E-4</v>
      </c>
      <c r="L53">
        <f t="shared" si="0"/>
        <v>3</v>
      </c>
    </row>
    <row r="54" spans="1:12" x14ac:dyDescent="0.3">
      <c r="A54" t="s">
        <v>49</v>
      </c>
      <c r="B54">
        <v>13</v>
      </c>
      <c r="C54">
        <v>10</v>
      </c>
      <c r="D54" t="s">
        <v>41</v>
      </c>
      <c r="E54" t="s">
        <v>40</v>
      </c>
      <c r="F54">
        <v>9</v>
      </c>
      <c r="G54">
        <v>56</v>
      </c>
      <c r="H54" t="s">
        <v>48</v>
      </c>
      <c r="I54">
        <v>0</v>
      </c>
      <c r="J54" t="s">
        <v>2</v>
      </c>
      <c r="K54" s="1">
        <v>9.3744212962962965E-4</v>
      </c>
      <c r="L54">
        <f t="shared" si="0"/>
        <v>3</v>
      </c>
    </row>
    <row r="55" spans="1:12" x14ac:dyDescent="0.3">
      <c r="A55" t="s">
        <v>49</v>
      </c>
      <c r="B55">
        <v>14</v>
      </c>
      <c r="C55">
        <v>31</v>
      </c>
      <c r="D55" t="s">
        <v>39</v>
      </c>
      <c r="E55" t="s">
        <v>40</v>
      </c>
      <c r="F55">
        <v>11</v>
      </c>
      <c r="G55">
        <v>56</v>
      </c>
      <c r="H55" t="s">
        <v>48</v>
      </c>
      <c r="I55">
        <v>0</v>
      </c>
      <c r="J55" t="s">
        <v>2</v>
      </c>
      <c r="K55" s="1">
        <v>9.3984953703703711E-4</v>
      </c>
      <c r="L55">
        <f t="shared" si="0"/>
        <v>3</v>
      </c>
    </row>
    <row r="56" spans="1:12" x14ac:dyDescent="0.3">
      <c r="A56" t="s">
        <v>49</v>
      </c>
      <c r="B56">
        <v>15</v>
      </c>
      <c r="C56">
        <v>21</v>
      </c>
      <c r="D56" t="s">
        <v>92</v>
      </c>
      <c r="E56" t="s">
        <v>91</v>
      </c>
      <c r="F56">
        <v>15</v>
      </c>
      <c r="G56">
        <v>56</v>
      </c>
      <c r="H56" t="s">
        <v>48</v>
      </c>
      <c r="I56">
        <v>0</v>
      </c>
      <c r="J56" t="s">
        <v>2</v>
      </c>
      <c r="K56" s="1">
        <v>9.3961805555555552E-4</v>
      </c>
      <c r="L56">
        <f t="shared" si="0"/>
        <v>3</v>
      </c>
    </row>
    <row r="57" spans="1:12" x14ac:dyDescent="0.3">
      <c r="A57" t="s">
        <v>49</v>
      </c>
      <c r="B57">
        <v>16</v>
      </c>
      <c r="C57">
        <v>2</v>
      </c>
      <c r="D57" t="s">
        <v>43</v>
      </c>
      <c r="E57" t="s">
        <v>37</v>
      </c>
      <c r="F57">
        <v>18</v>
      </c>
      <c r="G57">
        <v>56</v>
      </c>
      <c r="H57" t="s">
        <v>48</v>
      </c>
      <c r="I57">
        <v>0</v>
      </c>
      <c r="J57" t="s">
        <v>2</v>
      </c>
      <c r="K57" s="1">
        <v>9.4277777777777784E-4</v>
      </c>
      <c r="L57">
        <f t="shared" si="0"/>
        <v>3</v>
      </c>
    </row>
    <row r="58" spans="1:12" x14ac:dyDescent="0.3">
      <c r="A58" t="s">
        <v>49</v>
      </c>
      <c r="B58">
        <v>17</v>
      </c>
      <c r="C58">
        <v>20</v>
      </c>
      <c r="D58" t="s">
        <v>31</v>
      </c>
      <c r="E58" t="s">
        <v>32</v>
      </c>
      <c r="F58">
        <v>14</v>
      </c>
      <c r="G58">
        <v>52</v>
      </c>
      <c r="H58" t="s">
        <v>48</v>
      </c>
      <c r="I58">
        <v>0</v>
      </c>
      <c r="J58" t="s">
        <v>2</v>
      </c>
      <c r="K58" s="1">
        <v>9.4542824074074082E-4</v>
      </c>
      <c r="L58">
        <f t="shared" si="0"/>
        <v>3</v>
      </c>
    </row>
    <row r="59" spans="1:12" x14ac:dyDescent="0.3">
      <c r="A59" t="s">
        <v>49</v>
      </c>
      <c r="B59" t="s">
        <v>47</v>
      </c>
      <c r="C59">
        <v>63</v>
      </c>
      <c r="D59" t="s">
        <v>19</v>
      </c>
      <c r="E59" t="s">
        <v>20</v>
      </c>
      <c r="F59">
        <v>2</v>
      </c>
      <c r="G59">
        <v>17</v>
      </c>
      <c r="H59" t="s">
        <v>48</v>
      </c>
      <c r="I59">
        <v>0</v>
      </c>
      <c r="J59" t="s">
        <v>2</v>
      </c>
      <c r="K59" s="1">
        <v>9.5694444444444451E-4</v>
      </c>
      <c r="L59">
        <f t="shared" si="0"/>
        <v>3</v>
      </c>
    </row>
    <row r="60" spans="1:12" x14ac:dyDescent="0.3">
      <c r="A60" t="s">
        <v>49</v>
      </c>
      <c r="B60" t="s">
        <v>47</v>
      </c>
      <c r="C60">
        <v>23</v>
      </c>
      <c r="D60" t="s">
        <v>36</v>
      </c>
      <c r="E60" t="s">
        <v>37</v>
      </c>
      <c r="F60">
        <v>8</v>
      </c>
      <c r="G60">
        <v>6</v>
      </c>
      <c r="H60" t="s">
        <v>48</v>
      </c>
      <c r="I60">
        <v>0</v>
      </c>
      <c r="J60" t="s">
        <v>2</v>
      </c>
      <c r="K60" s="1">
        <v>9.6468750000000005E-4</v>
      </c>
      <c r="L60">
        <f t="shared" si="0"/>
        <v>3</v>
      </c>
    </row>
    <row r="61" spans="1:12" x14ac:dyDescent="0.3">
      <c r="A61" t="s">
        <v>49</v>
      </c>
      <c r="B61" t="s">
        <v>47</v>
      </c>
      <c r="C61">
        <v>16</v>
      </c>
      <c r="D61" t="s">
        <v>18</v>
      </c>
      <c r="E61" t="s">
        <v>17</v>
      </c>
      <c r="F61">
        <v>7</v>
      </c>
      <c r="G61">
        <v>0</v>
      </c>
      <c r="H61" t="s">
        <v>48</v>
      </c>
      <c r="I61">
        <v>0</v>
      </c>
      <c r="J61" t="s">
        <v>2</v>
      </c>
      <c r="L61">
        <f t="shared" si="0"/>
        <v>3</v>
      </c>
    </row>
    <row r="62" spans="1:12" x14ac:dyDescent="0.3">
      <c r="A62" t="s">
        <v>67</v>
      </c>
      <c r="B62">
        <v>1</v>
      </c>
      <c r="C62">
        <v>11</v>
      </c>
      <c r="D62" t="s">
        <v>15</v>
      </c>
      <c r="E62" t="s">
        <v>13</v>
      </c>
      <c r="F62">
        <v>3</v>
      </c>
      <c r="G62">
        <v>51</v>
      </c>
      <c r="H62" s="1">
        <v>6.4380046296296289E-2</v>
      </c>
      <c r="I62">
        <v>25</v>
      </c>
      <c r="J62" t="s">
        <v>2</v>
      </c>
      <c r="K62" s="1">
        <v>1.2105208333333334E-3</v>
      </c>
      <c r="L62">
        <f t="shared" si="0"/>
        <v>4</v>
      </c>
    </row>
    <row r="63" spans="1:12" x14ac:dyDescent="0.3">
      <c r="A63" t="s">
        <v>67</v>
      </c>
      <c r="B63">
        <v>2</v>
      </c>
      <c r="C63">
        <v>1</v>
      </c>
      <c r="D63" t="s">
        <v>12</v>
      </c>
      <c r="E63" t="s">
        <v>13</v>
      </c>
      <c r="F63">
        <v>2</v>
      </c>
      <c r="G63">
        <v>51</v>
      </c>
      <c r="H63">
        <v>2.137</v>
      </c>
      <c r="I63">
        <v>18</v>
      </c>
      <c r="J63" t="s">
        <v>2</v>
      </c>
      <c r="K63" s="1">
        <v>1.2063888888888888E-3</v>
      </c>
      <c r="L63">
        <f t="shared" si="0"/>
        <v>4</v>
      </c>
    </row>
    <row r="64" spans="1:12" x14ac:dyDescent="0.3">
      <c r="A64" t="s">
        <v>67</v>
      </c>
      <c r="B64">
        <v>3</v>
      </c>
      <c r="C64">
        <v>16</v>
      </c>
      <c r="D64" t="s">
        <v>18</v>
      </c>
      <c r="E64" t="s">
        <v>17</v>
      </c>
      <c r="F64">
        <v>1</v>
      </c>
      <c r="G64">
        <v>51</v>
      </c>
      <c r="H64">
        <v>21.216999999999999</v>
      </c>
      <c r="I64">
        <v>15</v>
      </c>
      <c r="J64" t="s">
        <v>2</v>
      </c>
      <c r="K64" s="1">
        <v>1.2101967592592594E-3</v>
      </c>
      <c r="L64">
        <f t="shared" si="0"/>
        <v>4</v>
      </c>
    </row>
    <row r="65" spans="1:12" x14ac:dyDescent="0.3">
      <c r="A65" t="s">
        <v>67</v>
      </c>
      <c r="B65">
        <v>4</v>
      </c>
      <c r="C65">
        <v>14</v>
      </c>
      <c r="D65" t="s">
        <v>25</v>
      </c>
      <c r="E65" t="s">
        <v>26</v>
      </c>
      <c r="F65">
        <v>6</v>
      </c>
      <c r="G65">
        <v>51</v>
      </c>
      <c r="H65">
        <v>22.024000000000001</v>
      </c>
      <c r="I65">
        <v>12</v>
      </c>
      <c r="J65" t="s">
        <v>2</v>
      </c>
      <c r="K65" s="1">
        <v>1.2064930555555555E-3</v>
      </c>
      <c r="L65">
        <f t="shared" si="0"/>
        <v>4</v>
      </c>
    </row>
    <row r="66" spans="1:12" x14ac:dyDescent="0.3">
      <c r="A66" t="s">
        <v>67</v>
      </c>
      <c r="B66">
        <v>5</v>
      </c>
      <c r="C66">
        <v>55</v>
      </c>
      <c r="D66" t="s">
        <v>16</v>
      </c>
      <c r="E66" t="s">
        <v>17</v>
      </c>
      <c r="F66">
        <v>4</v>
      </c>
      <c r="G66">
        <v>51</v>
      </c>
      <c r="H66">
        <v>45.491</v>
      </c>
      <c r="I66">
        <v>10</v>
      </c>
      <c r="J66" t="s">
        <v>2</v>
      </c>
      <c r="K66" s="1">
        <v>1.2173032407407408E-3</v>
      </c>
      <c r="L66">
        <f t="shared" si="0"/>
        <v>4</v>
      </c>
    </row>
    <row r="67" spans="1:12" x14ac:dyDescent="0.3">
      <c r="A67" t="s">
        <v>67</v>
      </c>
      <c r="B67">
        <v>6</v>
      </c>
      <c r="C67">
        <v>44</v>
      </c>
      <c r="D67" t="s">
        <v>23</v>
      </c>
      <c r="E67" t="s">
        <v>20</v>
      </c>
      <c r="F67">
        <v>5</v>
      </c>
      <c r="G67">
        <v>51</v>
      </c>
      <c r="H67">
        <v>46.145000000000003</v>
      </c>
      <c r="I67">
        <v>8</v>
      </c>
      <c r="J67" t="s">
        <v>2</v>
      </c>
      <c r="K67" s="1">
        <v>1.2192824074074074E-3</v>
      </c>
      <c r="L67">
        <f t="shared" si="0"/>
        <v>4</v>
      </c>
    </row>
    <row r="68" spans="1:12" x14ac:dyDescent="0.3">
      <c r="A68" t="s">
        <v>67</v>
      </c>
      <c r="B68">
        <v>7</v>
      </c>
      <c r="C68">
        <v>18</v>
      </c>
      <c r="D68" t="s">
        <v>27</v>
      </c>
      <c r="E68" t="s">
        <v>26</v>
      </c>
      <c r="F68">
        <v>9</v>
      </c>
      <c r="G68">
        <v>51</v>
      </c>
      <c r="H68">
        <v>51.616999999999997</v>
      </c>
      <c r="I68">
        <v>6</v>
      </c>
      <c r="J68" t="s">
        <v>2</v>
      </c>
      <c r="K68" s="1">
        <v>1.2225347222222223E-3</v>
      </c>
      <c r="L68">
        <f t="shared" si="0"/>
        <v>4</v>
      </c>
    </row>
    <row r="69" spans="1:12" x14ac:dyDescent="0.3">
      <c r="A69" t="s">
        <v>67</v>
      </c>
      <c r="B69">
        <v>8</v>
      </c>
      <c r="C69">
        <v>63</v>
      </c>
      <c r="D69" t="s">
        <v>19</v>
      </c>
      <c r="E69" t="s">
        <v>20</v>
      </c>
      <c r="F69">
        <v>11</v>
      </c>
      <c r="G69">
        <v>51</v>
      </c>
      <c r="H69">
        <v>74.239999999999995</v>
      </c>
      <c r="I69">
        <v>5</v>
      </c>
      <c r="J69" t="s">
        <v>14</v>
      </c>
      <c r="K69" s="1">
        <v>1.1964120370370371E-3</v>
      </c>
      <c r="L69">
        <f t="shared" si="0"/>
        <v>4</v>
      </c>
    </row>
    <row r="70" spans="1:12" x14ac:dyDescent="0.3">
      <c r="A70" t="s">
        <v>67</v>
      </c>
      <c r="B70">
        <v>9</v>
      </c>
      <c r="C70">
        <v>4</v>
      </c>
      <c r="D70" t="s">
        <v>21</v>
      </c>
      <c r="E70" t="s">
        <v>22</v>
      </c>
      <c r="F70">
        <v>7</v>
      </c>
      <c r="G70">
        <v>51</v>
      </c>
      <c r="H70">
        <v>80.376000000000005</v>
      </c>
      <c r="I70">
        <v>2</v>
      </c>
      <c r="J70" t="s">
        <v>2</v>
      </c>
      <c r="K70" s="1">
        <v>1.2238194444444445E-3</v>
      </c>
      <c r="L70">
        <f t="shared" si="0"/>
        <v>4</v>
      </c>
    </row>
    <row r="71" spans="1:12" x14ac:dyDescent="0.3">
      <c r="A71" t="s">
        <v>67</v>
      </c>
      <c r="B71">
        <v>10</v>
      </c>
      <c r="C71">
        <v>22</v>
      </c>
      <c r="D71" t="s">
        <v>35</v>
      </c>
      <c r="E71" t="s">
        <v>91</v>
      </c>
      <c r="F71">
        <v>8</v>
      </c>
      <c r="G71">
        <v>51</v>
      </c>
      <c r="H71">
        <v>83.861999999999995</v>
      </c>
      <c r="I71">
        <v>1</v>
      </c>
      <c r="J71" t="s">
        <v>2</v>
      </c>
      <c r="K71" s="1">
        <v>1.2236921296296297E-3</v>
      </c>
      <c r="L71">
        <f t="shared" si="0"/>
        <v>4</v>
      </c>
    </row>
    <row r="72" spans="1:12" x14ac:dyDescent="0.3">
      <c r="A72" t="s">
        <v>67</v>
      </c>
      <c r="B72">
        <v>11</v>
      </c>
      <c r="C72">
        <v>81</v>
      </c>
      <c r="D72" t="s">
        <v>24</v>
      </c>
      <c r="E72" t="s">
        <v>22</v>
      </c>
      <c r="F72">
        <v>10</v>
      </c>
      <c r="G72">
        <v>51</v>
      </c>
      <c r="H72">
        <v>86.501000000000005</v>
      </c>
      <c r="I72">
        <v>0</v>
      </c>
      <c r="J72" t="s">
        <v>2</v>
      </c>
      <c r="K72" s="1">
        <v>1.2225810185185185E-3</v>
      </c>
      <c r="L72">
        <f t="shared" si="0"/>
        <v>4</v>
      </c>
    </row>
    <row r="73" spans="1:12" x14ac:dyDescent="0.3">
      <c r="A73" t="s">
        <v>67</v>
      </c>
      <c r="B73">
        <v>12</v>
      </c>
      <c r="C73">
        <v>23</v>
      </c>
      <c r="D73" t="s">
        <v>36</v>
      </c>
      <c r="E73" t="s">
        <v>37</v>
      </c>
      <c r="F73">
        <v>12</v>
      </c>
      <c r="G73">
        <v>51</v>
      </c>
      <c r="H73">
        <v>88.623000000000005</v>
      </c>
      <c r="I73">
        <v>0</v>
      </c>
      <c r="J73" t="s">
        <v>2</v>
      </c>
      <c r="K73" s="1">
        <v>1.2259837962962962E-3</v>
      </c>
      <c r="L73">
        <f t="shared" si="0"/>
        <v>4</v>
      </c>
    </row>
    <row r="74" spans="1:12" x14ac:dyDescent="0.3">
      <c r="A74" t="s">
        <v>67</v>
      </c>
      <c r="B74">
        <v>13</v>
      </c>
      <c r="C74">
        <v>20</v>
      </c>
      <c r="D74" t="s">
        <v>31</v>
      </c>
      <c r="E74" t="s">
        <v>32</v>
      </c>
      <c r="F74">
        <v>16</v>
      </c>
      <c r="G74">
        <v>51</v>
      </c>
      <c r="H74">
        <v>89.728999999999999</v>
      </c>
      <c r="I74">
        <v>0</v>
      </c>
      <c r="J74" t="s">
        <v>2</v>
      </c>
      <c r="K74" s="1">
        <v>1.2251157407407406E-3</v>
      </c>
      <c r="L74">
        <f t="shared" si="0"/>
        <v>4</v>
      </c>
    </row>
    <row r="75" spans="1:12" x14ac:dyDescent="0.3">
      <c r="A75" t="s">
        <v>67</v>
      </c>
      <c r="B75">
        <v>14</v>
      </c>
      <c r="C75">
        <v>10</v>
      </c>
      <c r="D75" t="s">
        <v>41</v>
      </c>
      <c r="E75" t="s">
        <v>40</v>
      </c>
      <c r="F75">
        <v>17</v>
      </c>
      <c r="G75">
        <v>51</v>
      </c>
      <c r="H75">
        <v>91.331999999999994</v>
      </c>
      <c r="I75">
        <v>0</v>
      </c>
      <c r="J75" t="s">
        <v>2</v>
      </c>
      <c r="K75" s="1">
        <v>1.2215277777777778E-3</v>
      </c>
      <c r="L75">
        <f t="shared" si="0"/>
        <v>4</v>
      </c>
    </row>
    <row r="76" spans="1:12" x14ac:dyDescent="0.3">
      <c r="A76" t="s">
        <v>67</v>
      </c>
      <c r="B76">
        <v>15</v>
      </c>
      <c r="C76">
        <v>31</v>
      </c>
      <c r="D76" t="s">
        <v>39</v>
      </c>
      <c r="E76" t="s">
        <v>40</v>
      </c>
      <c r="F76">
        <v>19</v>
      </c>
      <c r="G76">
        <v>51</v>
      </c>
      <c r="H76">
        <v>97.793999999999997</v>
      </c>
      <c r="I76">
        <v>0</v>
      </c>
      <c r="J76" t="s">
        <v>2</v>
      </c>
      <c r="K76" s="1">
        <v>1.2257870370370369E-3</v>
      </c>
      <c r="L76">
        <f t="shared" si="0"/>
        <v>4</v>
      </c>
    </row>
    <row r="77" spans="1:12" x14ac:dyDescent="0.3">
      <c r="A77" t="s">
        <v>67</v>
      </c>
      <c r="B77">
        <v>16</v>
      </c>
      <c r="C77">
        <v>2</v>
      </c>
      <c r="D77" t="s">
        <v>43</v>
      </c>
      <c r="E77" t="s">
        <v>37</v>
      </c>
      <c r="F77">
        <v>14</v>
      </c>
      <c r="G77">
        <v>51</v>
      </c>
      <c r="H77">
        <v>100.943</v>
      </c>
      <c r="I77">
        <v>0</v>
      </c>
      <c r="J77" t="s">
        <v>2</v>
      </c>
      <c r="K77" s="1">
        <v>1.232650462962963E-3</v>
      </c>
      <c r="L77">
        <f t="shared" si="0"/>
        <v>4</v>
      </c>
    </row>
    <row r="78" spans="1:12" x14ac:dyDescent="0.3">
      <c r="A78" t="s">
        <v>67</v>
      </c>
      <c r="B78">
        <v>17</v>
      </c>
      <c r="C78">
        <v>27</v>
      </c>
      <c r="D78" t="s">
        <v>38</v>
      </c>
      <c r="E78" t="s">
        <v>32</v>
      </c>
      <c r="F78">
        <v>20</v>
      </c>
      <c r="G78">
        <v>50</v>
      </c>
      <c r="H78" t="s">
        <v>30</v>
      </c>
      <c r="I78">
        <v>0</v>
      </c>
      <c r="J78" t="s">
        <v>2</v>
      </c>
      <c r="K78" s="1">
        <v>1.2353124999999999E-3</v>
      </c>
      <c r="L78">
        <f t="shared" si="0"/>
        <v>4</v>
      </c>
    </row>
    <row r="79" spans="1:12" x14ac:dyDescent="0.3">
      <c r="A79" t="s">
        <v>67</v>
      </c>
      <c r="B79">
        <v>18</v>
      </c>
      <c r="C79">
        <v>77</v>
      </c>
      <c r="D79" t="s">
        <v>42</v>
      </c>
      <c r="E79" t="s">
        <v>90</v>
      </c>
      <c r="F79">
        <v>13</v>
      </c>
      <c r="G79">
        <v>50</v>
      </c>
      <c r="H79" t="s">
        <v>30</v>
      </c>
      <c r="I79">
        <v>0</v>
      </c>
      <c r="J79" t="s">
        <v>2</v>
      </c>
      <c r="K79" s="1">
        <v>1.2303703703703704E-3</v>
      </c>
      <c r="L79">
        <f t="shared" si="0"/>
        <v>4</v>
      </c>
    </row>
    <row r="80" spans="1:12" x14ac:dyDescent="0.3">
      <c r="A80" t="s">
        <v>67</v>
      </c>
      <c r="B80" t="s">
        <v>47</v>
      </c>
      <c r="C80">
        <v>24</v>
      </c>
      <c r="D80" t="s">
        <v>28</v>
      </c>
      <c r="E80" t="s">
        <v>90</v>
      </c>
      <c r="F80">
        <v>15</v>
      </c>
      <c r="G80">
        <v>36</v>
      </c>
      <c r="H80" t="s">
        <v>48</v>
      </c>
      <c r="I80">
        <v>0</v>
      </c>
      <c r="J80" t="s">
        <v>2</v>
      </c>
      <c r="K80" s="1">
        <v>1.2448263888888888E-3</v>
      </c>
      <c r="L80">
        <f t="shared" si="0"/>
        <v>4</v>
      </c>
    </row>
    <row r="81" spans="1:12" x14ac:dyDescent="0.3">
      <c r="A81" t="s">
        <v>67</v>
      </c>
      <c r="B81" t="s">
        <v>47</v>
      </c>
      <c r="C81">
        <v>21</v>
      </c>
      <c r="D81" t="s">
        <v>92</v>
      </c>
      <c r="E81" t="s">
        <v>91</v>
      </c>
      <c r="F81">
        <v>18</v>
      </c>
      <c r="G81">
        <v>9</v>
      </c>
      <c r="H81" t="s">
        <v>48</v>
      </c>
      <c r="I81">
        <v>0</v>
      </c>
      <c r="J81" t="s">
        <v>2</v>
      </c>
      <c r="K81" s="1">
        <v>1.2590393518518519E-3</v>
      </c>
      <c r="L81">
        <f t="shared" si="0"/>
        <v>4</v>
      </c>
    </row>
    <row r="82" spans="1:12" x14ac:dyDescent="0.3">
      <c r="A82" t="s">
        <v>52</v>
      </c>
      <c r="B82">
        <v>1</v>
      </c>
      <c r="C82">
        <v>1</v>
      </c>
      <c r="D82" t="s">
        <v>12</v>
      </c>
      <c r="E82" t="s">
        <v>13</v>
      </c>
      <c r="F82">
        <v>9</v>
      </c>
      <c r="G82">
        <v>57</v>
      </c>
      <c r="H82" s="1">
        <v>6.0859270833333333E-2</v>
      </c>
      <c r="I82">
        <v>26</v>
      </c>
      <c r="J82" t="s">
        <v>14</v>
      </c>
      <c r="K82" s="1">
        <v>1.038287037037037E-3</v>
      </c>
      <c r="L82">
        <f t="shared" si="0"/>
        <v>5</v>
      </c>
    </row>
    <row r="83" spans="1:12" x14ac:dyDescent="0.3">
      <c r="A83" t="s">
        <v>52</v>
      </c>
      <c r="B83">
        <v>2</v>
      </c>
      <c r="C83">
        <v>11</v>
      </c>
      <c r="D83" t="s">
        <v>15</v>
      </c>
      <c r="E83" t="s">
        <v>13</v>
      </c>
      <c r="F83">
        <v>1</v>
      </c>
      <c r="G83">
        <v>57</v>
      </c>
      <c r="H83">
        <v>5.3840000000000003</v>
      </c>
      <c r="I83">
        <v>18</v>
      </c>
      <c r="J83" t="s">
        <v>2</v>
      </c>
      <c r="K83" s="1">
        <v>1.0481481481481481E-3</v>
      </c>
      <c r="L83">
        <f t="shared" si="0"/>
        <v>5</v>
      </c>
    </row>
    <row r="84" spans="1:12" x14ac:dyDescent="0.3">
      <c r="A84" t="s">
        <v>52</v>
      </c>
      <c r="B84">
        <v>3</v>
      </c>
      <c r="C84">
        <v>14</v>
      </c>
      <c r="D84" t="s">
        <v>25</v>
      </c>
      <c r="E84" t="s">
        <v>26</v>
      </c>
      <c r="F84">
        <v>2</v>
      </c>
      <c r="G84">
        <v>57</v>
      </c>
      <c r="H84">
        <v>26.305</v>
      </c>
      <c r="I84">
        <v>15</v>
      </c>
      <c r="J84" t="s">
        <v>2</v>
      </c>
      <c r="K84" s="1">
        <v>1.0476736111111112E-3</v>
      </c>
      <c r="L84">
        <f t="shared" si="0"/>
        <v>5</v>
      </c>
    </row>
    <row r="85" spans="1:12" x14ac:dyDescent="0.3">
      <c r="A85" t="s">
        <v>52</v>
      </c>
      <c r="B85">
        <v>4</v>
      </c>
      <c r="C85">
        <v>63</v>
      </c>
      <c r="D85" t="s">
        <v>19</v>
      </c>
      <c r="E85" t="s">
        <v>20</v>
      </c>
      <c r="F85">
        <v>6</v>
      </c>
      <c r="G85">
        <v>57</v>
      </c>
      <c r="H85">
        <v>33.228999999999999</v>
      </c>
      <c r="I85">
        <v>12</v>
      </c>
      <c r="J85" t="s">
        <v>2</v>
      </c>
      <c r="K85" s="1">
        <v>1.0534143518518518E-3</v>
      </c>
      <c r="L85">
        <f t="shared" si="0"/>
        <v>5</v>
      </c>
    </row>
    <row r="86" spans="1:12" x14ac:dyDescent="0.3">
      <c r="A86" t="s">
        <v>52</v>
      </c>
      <c r="B86">
        <v>5</v>
      </c>
      <c r="C86">
        <v>55</v>
      </c>
      <c r="D86" t="s">
        <v>16</v>
      </c>
      <c r="E86" t="s">
        <v>17</v>
      </c>
      <c r="F86">
        <v>3</v>
      </c>
      <c r="G86">
        <v>57</v>
      </c>
      <c r="H86">
        <v>42.511000000000003</v>
      </c>
      <c r="I86">
        <v>10</v>
      </c>
      <c r="J86" t="s">
        <v>2</v>
      </c>
      <c r="K86" s="1">
        <v>1.0574305555555556E-3</v>
      </c>
      <c r="L86">
        <f t="shared" si="0"/>
        <v>5</v>
      </c>
    </row>
    <row r="87" spans="1:12" x14ac:dyDescent="0.3">
      <c r="A87" t="s">
        <v>52</v>
      </c>
      <c r="B87">
        <v>6</v>
      </c>
      <c r="C87">
        <v>44</v>
      </c>
      <c r="D87" t="s">
        <v>23</v>
      </c>
      <c r="E87" t="s">
        <v>20</v>
      </c>
      <c r="F87">
        <v>13</v>
      </c>
      <c r="G87">
        <v>57</v>
      </c>
      <c r="H87">
        <v>51.249000000000002</v>
      </c>
      <c r="I87">
        <v>8</v>
      </c>
      <c r="J87" t="s">
        <v>2</v>
      </c>
      <c r="K87" s="1">
        <v>1.0494097222222222E-3</v>
      </c>
      <c r="L87">
        <f t="shared" ref="L87:L150" si="1">L67+1</f>
        <v>5</v>
      </c>
    </row>
    <row r="88" spans="1:12" x14ac:dyDescent="0.3">
      <c r="A88" t="s">
        <v>52</v>
      </c>
      <c r="B88">
        <v>7</v>
      </c>
      <c r="C88">
        <v>16</v>
      </c>
      <c r="D88" t="s">
        <v>18</v>
      </c>
      <c r="E88" t="s">
        <v>17</v>
      </c>
      <c r="F88">
        <v>7</v>
      </c>
      <c r="G88">
        <v>57</v>
      </c>
      <c r="H88">
        <v>52.988</v>
      </c>
      <c r="I88">
        <v>6</v>
      </c>
      <c r="J88" t="s">
        <v>2</v>
      </c>
      <c r="K88" s="1">
        <v>1.0582638888888888E-3</v>
      </c>
      <c r="L88">
        <f t="shared" si="1"/>
        <v>5</v>
      </c>
    </row>
    <row r="89" spans="1:12" x14ac:dyDescent="0.3">
      <c r="A89" t="s">
        <v>52</v>
      </c>
      <c r="B89">
        <v>8</v>
      </c>
      <c r="C89">
        <v>10</v>
      </c>
      <c r="D89" t="s">
        <v>41</v>
      </c>
      <c r="E89" t="s">
        <v>40</v>
      </c>
      <c r="F89">
        <v>5</v>
      </c>
      <c r="G89">
        <v>57</v>
      </c>
      <c r="H89">
        <v>55.67</v>
      </c>
      <c r="I89">
        <v>4</v>
      </c>
      <c r="J89" t="s">
        <v>2</v>
      </c>
      <c r="K89" s="1">
        <v>1.0644791666666667E-3</v>
      </c>
      <c r="L89">
        <f t="shared" si="1"/>
        <v>5</v>
      </c>
    </row>
    <row r="90" spans="1:12" x14ac:dyDescent="0.3">
      <c r="A90" t="s">
        <v>52</v>
      </c>
      <c r="B90">
        <v>9</v>
      </c>
      <c r="C90">
        <v>31</v>
      </c>
      <c r="D90" t="s">
        <v>39</v>
      </c>
      <c r="E90" t="s">
        <v>40</v>
      </c>
      <c r="F90">
        <v>8</v>
      </c>
      <c r="G90">
        <v>57</v>
      </c>
      <c r="H90">
        <v>58.122999999999998</v>
      </c>
      <c r="I90">
        <v>2</v>
      </c>
      <c r="J90" t="s">
        <v>2</v>
      </c>
      <c r="K90" s="1">
        <v>1.0548958333333332E-3</v>
      </c>
      <c r="L90">
        <f t="shared" si="1"/>
        <v>5</v>
      </c>
    </row>
    <row r="91" spans="1:12" x14ac:dyDescent="0.3">
      <c r="A91" t="s">
        <v>52</v>
      </c>
      <c r="B91">
        <v>10</v>
      </c>
      <c r="C91">
        <v>20</v>
      </c>
      <c r="D91" t="s">
        <v>31</v>
      </c>
      <c r="E91" t="s">
        <v>32</v>
      </c>
      <c r="F91">
        <v>4</v>
      </c>
      <c r="G91">
        <v>57</v>
      </c>
      <c r="H91">
        <v>62.945</v>
      </c>
      <c r="I91">
        <v>1</v>
      </c>
      <c r="J91" t="s">
        <v>2</v>
      </c>
      <c r="K91" s="1">
        <v>1.061238425925926E-3</v>
      </c>
      <c r="L91">
        <f t="shared" si="1"/>
        <v>5</v>
      </c>
    </row>
    <row r="92" spans="1:12" x14ac:dyDescent="0.3">
      <c r="A92" t="s">
        <v>52</v>
      </c>
      <c r="B92">
        <v>11</v>
      </c>
      <c r="C92">
        <v>22</v>
      </c>
      <c r="D92" t="s">
        <v>35</v>
      </c>
      <c r="E92" t="s">
        <v>91</v>
      </c>
      <c r="F92">
        <v>17</v>
      </c>
      <c r="G92">
        <v>57</v>
      </c>
      <c r="H92">
        <v>64.308999999999997</v>
      </c>
      <c r="I92">
        <v>0</v>
      </c>
      <c r="J92" t="s">
        <v>2</v>
      </c>
      <c r="K92" s="1">
        <v>1.0536805555555555E-3</v>
      </c>
      <c r="L92">
        <f t="shared" si="1"/>
        <v>5</v>
      </c>
    </row>
    <row r="93" spans="1:12" x14ac:dyDescent="0.3">
      <c r="A93" t="s">
        <v>52</v>
      </c>
      <c r="B93">
        <v>12</v>
      </c>
      <c r="C93">
        <v>18</v>
      </c>
      <c r="D93" t="s">
        <v>27</v>
      </c>
      <c r="E93" t="s">
        <v>26</v>
      </c>
      <c r="F93">
        <v>18</v>
      </c>
      <c r="G93">
        <v>57</v>
      </c>
      <c r="H93">
        <v>64.754000000000005</v>
      </c>
      <c r="I93">
        <v>0</v>
      </c>
      <c r="J93" t="s">
        <v>2</v>
      </c>
      <c r="K93" s="1">
        <v>1.0516435185185184E-3</v>
      </c>
      <c r="L93">
        <f t="shared" si="1"/>
        <v>5</v>
      </c>
    </row>
    <row r="94" spans="1:12" x14ac:dyDescent="0.3">
      <c r="A94" t="s">
        <v>52</v>
      </c>
      <c r="B94">
        <v>13</v>
      </c>
      <c r="C94">
        <v>77</v>
      </c>
      <c r="D94" t="s">
        <v>42</v>
      </c>
      <c r="E94" t="s">
        <v>90</v>
      </c>
      <c r="F94">
        <v>10</v>
      </c>
      <c r="G94">
        <v>57</v>
      </c>
      <c r="H94">
        <v>71.637</v>
      </c>
      <c r="I94">
        <v>0</v>
      </c>
      <c r="J94" t="s">
        <v>2</v>
      </c>
      <c r="K94" s="1">
        <v>1.0629398148148147E-3</v>
      </c>
      <c r="L94">
        <f t="shared" si="1"/>
        <v>5</v>
      </c>
    </row>
    <row r="95" spans="1:12" x14ac:dyDescent="0.3">
      <c r="A95" t="s">
        <v>52</v>
      </c>
      <c r="B95">
        <v>14</v>
      </c>
      <c r="C95">
        <v>23</v>
      </c>
      <c r="D95" t="s">
        <v>36</v>
      </c>
      <c r="E95" t="s">
        <v>37</v>
      </c>
      <c r="F95">
        <v>11</v>
      </c>
      <c r="G95">
        <v>57</v>
      </c>
      <c r="H95">
        <v>72.861000000000004</v>
      </c>
      <c r="I95">
        <v>0</v>
      </c>
      <c r="J95" t="s">
        <v>2</v>
      </c>
      <c r="K95" s="1">
        <v>1.063101851851852E-3</v>
      </c>
      <c r="L95">
        <f t="shared" si="1"/>
        <v>5</v>
      </c>
    </row>
    <row r="96" spans="1:12" x14ac:dyDescent="0.3">
      <c r="A96" t="s">
        <v>52</v>
      </c>
      <c r="B96">
        <v>15</v>
      </c>
      <c r="C96">
        <v>27</v>
      </c>
      <c r="D96" t="s">
        <v>38</v>
      </c>
      <c r="E96" t="s">
        <v>32</v>
      </c>
      <c r="F96">
        <v>12</v>
      </c>
      <c r="G96">
        <v>57</v>
      </c>
      <c r="H96">
        <v>74.95</v>
      </c>
      <c r="I96">
        <v>0</v>
      </c>
      <c r="J96" t="s">
        <v>2</v>
      </c>
      <c r="K96" s="1">
        <v>1.0520949074074074E-3</v>
      </c>
      <c r="L96">
        <f t="shared" si="1"/>
        <v>5</v>
      </c>
    </row>
    <row r="97" spans="1:12" x14ac:dyDescent="0.3">
      <c r="A97" t="s">
        <v>52</v>
      </c>
      <c r="B97">
        <v>16</v>
      </c>
      <c r="C97">
        <v>24</v>
      </c>
      <c r="D97" t="s">
        <v>28</v>
      </c>
      <c r="E97" t="s">
        <v>90</v>
      </c>
      <c r="F97">
        <v>14</v>
      </c>
      <c r="G97">
        <v>57</v>
      </c>
      <c r="H97">
        <v>78.44</v>
      </c>
      <c r="I97">
        <v>0</v>
      </c>
      <c r="J97" t="s">
        <v>2</v>
      </c>
      <c r="K97" s="1">
        <v>1.0617592592592593E-3</v>
      </c>
      <c r="L97">
        <f t="shared" si="1"/>
        <v>5</v>
      </c>
    </row>
    <row r="98" spans="1:12" x14ac:dyDescent="0.3">
      <c r="A98" t="s">
        <v>52</v>
      </c>
      <c r="B98">
        <v>17</v>
      </c>
      <c r="C98">
        <v>4</v>
      </c>
      <c r="D98" t="s">
        <v>21</v>
      </c>
      <c r="E98" t="s">
        <v>22</v>
      </c>
      <c r="F98">
        <v>16</v>
      </c>
      <c r="G98">
        <v>57</v>
      </c>
      <c r="H98">
        <v>87.716999999999999</v>
      </c>
      <c r="I98">
        <v>0</v>
      </c>
      <c r="J98" t="s">
        <v>2</v>
      </c>
      <c r="K98" s="1">
        <v>1.0694560185185186E-3</v>
      </c>
      <c r="L98">
        <f t="shared" si="1"/>
        <v>5</v>
      </c>
    </row>
    <row r="99" spans="1:12" x14ac:dyDescent="0.3">
      <c r="A99" t="s">
        <v>52</v>
      </c>
      <c r="B99">
        <v>18</v>
      </c>
      <c r="C99">
        <v>21</v>
      </c>
      <c r="D99" t="s">
        <v>92</v>
      </c>
      <c r="E99" t="s">
        <v>91</v>
      </c>
      <c r="F99">
        <v>15</v>
      </c>
      <c r="G99">
        <v>57</v>
      </c>
      <c r="H99">
        <v>88.948999999999998</v>
      </c>
      <c r="I99">
        <v>0</v>
      </c>
      <c r="J99" t="s">
        <v>2</v>
      </c>
      <c r="K99" s="1">
        <v>1.0597453703703704E-3</v>
      </c>
      <c r="L99">
        <f t="shared" si="1"/>
        <v>5</v>
      </c>
    </row>
    <row r="100" spans="1:12" x14ac:dyDescent="0.3">
      <c r="A100" t="s">
        <v>52</v>
      </c>
      <c r="B100">
        <v>19</v>
      </c>
      <c r="C100">
        <v>81</v>
      </c>
      <c r="D100" t="s">
        <v>24</v>
      </c>
      <c r="E100" t="s">
        <v>22</v>
      </c>
      <c r="F100">
        <v>19</v>
      </c>
      <c r="G100">
        <v>56</v>
      </c>
      <c r="H100" t="s">
        <v>30</v>
      </c>
      <c r="I100">
        <v>0</v>
      </c>
      <c r="J100" t="s">
        <v>2</v>
      </c>
      <c r="K100" s="1">
        <v>1.0648842592592593E-3</v>
      </c>
      <c r="L100">
        <f t="shared" si="1"/>
        <v>5</v>
      </c>
    </row>
    <row r="101" spans="1:12" x14ac:dyDescent="0.3">
      <c r="A101" t="s">
        <v>52</v>
      </c>
      <c r="B101">
        <v>20</v>
      </c>
      <c r="C101">
        <v>2</v>
      </c>
      <c r="D101" t="s">
        <v>43</v>
      </c>
      <c r="E101" t="s">
        <v>37</v>
      </c>
      <c r="F101">
        <v>20</v>
      </c>
      <c r="G101">
        <v>56</v>
      </c>
      <c r="H101" t="s">
        <v>30</v>
      </c>
      <c r="I101">
        <v>0</v>
      </c>
      <c r="J101" t="s">
        <v>2</v>
      </c>
      <c r="K101" s="1">
        <v>1.0692592592592592E-3</v>
      </c>
      <c r="L101">
        <f t="shared" si="1"/>
        <v>5</v>
      </c>
    </row>
    <row r="102" spans="1:12" x14ac:dyDescent="0.3">
      <c r="A102" t="s">
        <v>54</v>
      </c>
      <c r="B102">
        <v>1</v>
      </c>
      <c r="C102">
        <v>1</v>
      </c>
      <c r="D102" t="s">
        <v>12</v>
      </c>
      <c r="E102" t="s">
        <v>13</v>
      </c>
      <c r="F102">
        <v>1</v>
      </c>
      <c r="G102">
        <v>78</v>
      </c>
      <c r="H102" s="1">
        <v>7.5601620370370368E-2</v>
      </c>
      <c r="I102">
        <v>25</v>
      </c>
      <c r="J102" t="s">
        <v>2</v>
      </c>
      <c r="K102" s="1">
        <v>8.8662037037037041E-4</v>
      </c>
      <c r="L102">
        <f t="shared" si="1"/>
        <v>6</v>
      </c>
    </row>
    <row r="103" spans="1:12" x14ac:dyDescent="0.3">
      <c r="A103" t="s">
        <v>54</v>
      </c>
      <c r="B103">
        <v>2</v>
      </c>
      <c r="C103">
        <v>14</v>
      </c>
      <c r="D103" t="s">
        <v>25</v>
      </c>
      <c r="E103" t="s">
        <v>26</v>
      </c>
      <c r="F103">
        <v>2</v>
      </c>
      <c r="G103">
        <v>78</v>
      </c>
      <c r="H103">
        <v>27.920999999999999</v>
      </c>
      <c r="I103">
        <v>18</v>
      </c>
      <c r="J103" t="s">
        <v>2</v>
      </c>
      <c r="K103" s="1">
        <v>8.8743055555555559E-4</v>
      </c>
      <c r="L103">
        <f t="shared" si="1"/>
        <v>6</v>
      </c>
    </row>
    <row r="104" spans="1:12" x14ac:dyDescent="0.3">
      <c r="A104" t="s">
        <v>54</v>
      </c>
      <c r="B104">
        <v>3</v>
      </c>
      <c r="C104">
        <v>31</v>
      </c>
      <c r="D104" t="s">
        <v>39</v>
      </c>
      <c r="E104" t="s">
        <v>40</v>
      </c>
      <c r="F104">
        <v>3</v>
      </c>
      <c r="G104">
        <v>78</v>
      </c>
      <c r="H104">
        <v>36.99</v>
      </c>
      <c r="I104">
        <v>15</v>
      </c>
      <c r="J104" t="s">
        <v>2</v>
      </c>
      <c r="K104" s="1">
        <v>8.8574074074074065E-4</v>
      </c>
      <c r="L104">
        <f t="shared" si="1"/>
        <v>6</v>
      </c>
    </row>
    <row r="105" spans="1:12" x14ac:dyDescent="0.3">
      <c r="A105" t="s">
        <v>54</v>
      </c>
      <c r="B105">
        <v>4</v>
      </c>
      <c r="C105">
        <v>44</v>
      </c>
      <c r="D105" t="s">
        <v>23</v>
      </c>
      <c r="E105" t="s">
        <v>20</v>
      </c>
      <c r="F105">
        <v>5</v>
      </c>
      <c r="G105">
        <v>78</v>
      </c>
      <c r="H105">
        <v>39.061999999999998</v>
      </c>
      <c r="I105">
        <v>13</v>
      </c>
      <c r="J105" t="s">
        <v>14</v>
      </c>
      <c r="K105" s="1">
        <v>8.7557870370370372E-4</v>
      </c>
      <c r="L105">
        <f t="shared" si="1"/>
        <v>6</v>
      </c>
    </row>
    <row r="106" spans="1:12" x14ac:dyDescent="0.3">
      <c r="A106" t="s">
        <v>54</v>
      </c>
      <c r="B106">
        <v>5</v>
      </c>
      <c r="C106">
        <v>63</v>
      </c>
      <c r="D106" t="s">
        <v>19</v>
      </c>
      <c r="E106" t="s">
        <v>20</v>
      </c>
      <c r="F106">
        <v>8</v>
      </c>
      <c r="G106">
        <v>78</v>
      </c>
      <c r="H106">
        <v>56.283999999999999</v>
      </c>
      <c r="I106">
        <v>10</v>
      </c>
      <c r="J106" t="s">
        <v>2</v>
      </c>
      <c r="K106" s="1">
        <v>8.8886574074074074E-4</v>
      </c>
      <c r="L106">
        <f t="shared" si="1"/>
        <v>6</v>
      </c>
    </row>
    <row r="107" spans="1:12" x14ac:dyDescent="0.3">
      <c r="A107" t="s">
        <v>54</v>
      </c>
      <c r="B107">
        <v>6</v>
      </c>
      <c r="C107">
        <v>16</v>
      </c>
      <c r="D107" t="s">
        <v>18</v>
      </c>
      <c r="E107" t="s">
        <v>17</v>
      </c>
      <c r="F107">
        <v>6</v>
      </c>
      <c r="G107">
        <v>78</v>
      </c>
      <c r="H107">
        <v>61.89</v>
      </c>
      <c r="I107">
        <v>8</v>
      </c>
      <c r="J107" t="s">
        <v>2</v>
      </c>
      <c r="K107" s="1">
        <v>8.7700231481481472E-4</v>
      </c>
      <c r="L107">
        <f t="shared" si="1"/>
        <v>6</v>
      </c>
    </row>
    <row r="108" spans="1:12" x14ac:dyDescent="0.3">
      <c r="A108" t="s">
        <v>54</v>
      </c>
      <c r="B108">
        <v>7</v>
      </c>
      <c r="C108">
        <v>10</v>
      </c>
      <c r="D108" t="s">
        <v>41</v>
      </c>
      <c r="E108" t="s">
        <v>40</v>
      </c>
      <c r="F108">
        <v>7</v>
      </c>
      <c r="G108">
        <v>78</v>
      </c>
      <c r="H108">
        <v>62.362000000000002</v>
      </c>
      <c r="I108">
        <v>6</v>
      </c>
      <c r="J108" t="s">
        <v>2</v>
      </c>
      <c r="K108" s="1">
        <v>8.7767361111111119E-4</v>
      </c>
      <c r="L108">
        <f t="shared" si="1"/>
        <v>6</v>
      </c>
    </row>
    <row r="109" spans="1:12" x14ac:dyDescent="0.3">
      <c r="A109" t="s">
        <v>54</v>
      </c>
      <c r="B109">
        <v>8</v>
      </c>
      <c r="C109">
        <v>55</v>
      </c>
      <c r="D109" t="s">
        <v>16</v>
      </c>
      <c r="E109" t="s">
        <v>17</v>
      </c>
      <c r="F109">
        <v>4</v>
      </c>
      <c r="G109">
        <v>78</v>
      </c>
      <c r="H109">
        <v>63.390999999999998</v>
      </c>
      <c r="I109">
        <v>4</v>
      </c>
      <c r="J109" t="s">
        <v>2</v>
      </c>
      <c r="K109" s="1">
        <v>8.8482638888888888E-4</v>
      </c>
      <c r="L109">
        <f t="shared" si="1"/>
        <v>6</v>
      </c>
    </row>
    <row r="110" spans="1:12" x14ac:dyDescent="0.3">
      <c r="A110" t="s">
        <v>54</v>
      </c>
      <c r="B110">
        <v>9</v>
      </c>
      <c r="C110">
        <v>4</v>
      </c>
      <c r="D110" t="s">
        <v>21</v>
      </c>
      <c r="E110" t="s">
        <v>22</v>
      </c>
      <c r="F110">
        <v>10</v>
      </c>
      <c r="G110">
        <v>77</v>
      </c>
      <c r="H110" t="s">
        <v>30</v>
      </c>
      <c r="I110">
        <v>2</v>
      </c>
      <c r="J110" t="s">
        <v>2</v>
      </c>
      <c r="K110" s="1">
        <v>9.0097222222222217E-4</v>
      </c>
      <c r="L110">
        <f t="shared" si="1"/>
        <v>6</v>
      </c>
    </row>
    <row r="111" spans="1:12" x14ac:dyDescent="0.3">
      <c r="A111" t="s">
        <v>54</v>
      </c>
      <c r="B111">
        <v>10</v>
      </c>
      <c r="C111">
        <v>81</v>
      </c>
      <c r="D111" t="s">
        <v>24</v>
      </c>
      <c r="E111" t="s">
        <v>22</v>
      </c>
      <c r="F111">
        <v>11</v>
      </c>
      <c r="G111">
        <v>77</v>
      </c>
      <c r="H111" t="s">
        <v>30</v>
      </c>
      <c r="I111">
        <v>1</v>
      </c>
      <c r="J111" t="s">
        <v>2</v>
      </c>
      <c r="K111" s="1">
        <v>8.9714120370370382E-4</v>
      </c>
      <c r="L111">
        <f t="shared" si="1"/>
        <v>6</v>
      </c>
    </row>
    <row r="112" spans="1:12" x14ac:dyDescent="0.3">
      <c r="A112" t="s">
        <v>54</v>
      </c>
      <c r="B112">
        <v>11</v>
      </c>
      <c r="C112">
        <v>77</v>
      </c>
      <c r="D112" t="s">
        <v>42</v>
      </c>
      <c r="E112" t="s">
        <v>90</v>
      </c>
      <c r="F112">
        <v>15</v>
      </c>
      <c r="G112">
        <v>77</v>
      </c>
      <c r="H112" t="s">
        <v>30</v>
      </c>
      <c r="I112">
        <v>0</v>
      </c>
      <c r="J112" t="s">
        <v>2</v>
      </c>
      <c r="K112" s="1">
        <v>9.0074074074074069E-4</v>
      </c>
      <c r="L112">
        <f t="shared" si="1"/>
        <v>6</v>
      </c>
    </row>
    <row r="113" spans="1:12" x14ac:dyDescent="0.3">
      <c r="A113" t="s">
        <v>54</v>
      </c>
      <c r="B113">
        <v>12</v>
      </c>
      <c r="C113">
        <v>21</v>
      </c>
      <c r="D113" t="s">
        <v>92</v>
      </c>
      <c r="E113" t="s">
        <v>91</v>
      </c>
      <c r="F113">
        <v>12</v>
      </c>
      <c r="G113">
        <v>77</v>
      </c>
      <c r="H113" t="s">
        <v>30</v>
      </c>
      <c r="I113">
        <v>0</v>
      </c>
      <c r="J113" t="s">
        <v>2</v>
      </c>
      <c r="K113" s="1">
        <v>8.9769675925925932E-4</v>
      </c>
      <c r="L113">
        <f t="shared" si="1"/>
        <v>6</v>
      </c>
    </row>
    <row r="114" spans="1:12" x14ac:dyDescent="0.3">
      <c r="A114" t="s">
        <v>54</v>
      </c>
      <c r="B114">
        <v>13</v>
      </c>
      <c r="C114">
        <v>24</v>
      </c>
      <c r="D114" t="s">
        <v>28</v>
      </c>
      <c r="E114" t="s">
        <v>90</v>
      </c>
      <c r="F114">
        <v>19</v>
      </c>
      <c r="G114">
        <v>77</v>
      </c>
      <c r="H114" t="s">
        <v>30</v>
      </c>
      <c r="I114">
        <v>0</v>
      </c>
      <c r="J114" t="s">
        <v>2</v>
      </c>
      <c r="K114" s="1">
        <v>8.9034722222222228E-4</v>
      </c>
      <c r="L114">
        <f t="shared" si="1"/>
        <v>6</v>
      </c>
    </row>
    <row r="115" spans="1:12" x14ac:dyDescent="0.3">
      <c r="A115" t="s">
        <v>54</v>
      </c>
      <c r="B115">
        <v>14</v>
      </c>
      <c r="C115">
        <v>23</v>
      </c>
      <c r="D115" t="s">
        <v>36</v>
      </c>
      <c r="E115" t="s">
        <v>37</v>
      </c>
      <c r="F115">
        <v>13</v>
      </c>
      <c r="G115">
        <v>77</v>
      </c>
      <c r="H115" t="s">
        <v>30</v>
      </c>
      <c r="I115">
        <v>0</v>
      </c>
      <c r="J115" t="s">
        <v>2</v>
      </c>
      <c r="K115" s="1">
        <v>8.8740740740740739E-4</v>
      </c>
      <c r="L115">
        <f t="shared" si="1"/>
        <v>6</v>
      </c>
    </row>
    <row r="116" spans="1:12" x14ac:dyDescent="0.3">
      <c r="A116" t="s">
        <v>54</v>
      </c>
      <c r="B116">
        <v>15</v>
      </c>
      <c r="C116">
        <v>22</v>
      </c>
      <c r="D116" t="s">
        <v>35</v>
      </c>
      <c r="E116" t="s">
        <v>91</v>
      </c>
      <c r="F116">
        <v>9</v>
      </c>
      <c r="G116">
        <v>76</v>
      </c>
      <c r="H116" t="s">
        <v>44</v>
      </c>
      <c r="I116">
        <v>0</v>
      </c>
      <c r="J116" t="s">
        <v>2</v>
      </c>
      <c r="K116" s="1">
        <v>8.9907407407407416E-4</v>
      </c>
      <c r="L116">
        <f t="shared" si="1"/>
        <v>6</v>
      </c>
    </row>
    <row r="117" spans="1:12" x14ac:dyDescent="0.3">
      <c r="A117" t="s">
        <v>54</v>
      </c>
      <c r="B117">
        <v>16</v>
      </c>
      <c r="C117">
        <v>11</v>
      </c>
      <c r="D117" t="s">
        <v>15</v>
      </c>
      <c r="E117" t="s">
        <v>13</v>
      </c>
      <c r="F117">
        <v>20</v>
      </c>
      <c r="G117">
        <v>76</v>
      </c>
      <c r="H117" t="s">
        <v>44</v>
      </c>
      <c r="I117">
        <v>0</v>
      </c>
      <c r="J117" t="s">
        <v>2</v>
      </c>
      <c r="K117" s="1">
        <v>8.8274305555555567E-4</v>
      </c>
      <c r="L117">
        <f t="shared" si="1"/>
        <v>6</v>
      </c>
    </row>
    <row r="118" spans="1:12" x14ac:dyDescent="0.3">
      <c r="A118" t="s">
        <v>54</v>
      </c>
      <c r="B118">
        <v>17</v>
      </c>
      <c r="C118">
        <v>27</v>
      </c>
      <c r="D118" t="s">
        <v>38</v>
      </c>
      <c r="E118" t="s">
        <v>32</v>
      </c>
      <c r="F118">
        <v>18</v>
      </c>
      <c r="G118">
        <v>76</v>
      </c>
      <c r="H118" t="s">
        <v>44</v>
      </c>
      <c r="I118">
        <v>0</v>
      </c>
      <c r="J118" t="s">
        <v>2</v>
      </c>
      <c r="K118" s="1">
        <v>8.9109953703703703E-4</v>
      </c>
      <c r="L118">
        <f t="shared" si="1"/>
        <v>6</v>
      </c>
    </row>
    <row r="119" spans="1:12" x14ac:dyDescent="0.3">
      <c r="A119" t="s">
        <v>54</v>
      </c>
      <c r="B119">
        <v>18</v>
      </c>
      <c r="C119">
        <v>2</v>
      </c>
      <c r="D119" t="s">
        <v>43</v>
      </c>
      <c r="E119" t="s">
        <v>37</v>
      </c>
      <c r="F119">
        <v>16</v>
      </c>
      <c r="G119">
        <v>76</v>
      </c>
      <c r="H119" t="s">
        <v>44</v>
      </c>
      <c r="I119">
        <v>0</v>
      </c>
      <c r="J119" t="s">
        <v>2</v>
      </c>
      <c r="K119" s="1">
        <v>8.9469907407407402E-4</v>
      </c>
      <c r="L119">
        <f t="shared" si="1"/>
        <v>6</v>
      </c>
    </row>
    <row r="120" spans="1:12" x14ac:dyDescent="0.3">
      <c r="A120" t="s">
        <v>54</v>
      </c>
      <c r="B120">
        <v>19</v>
      </c>
      <c r="C120">
        <v>20</v>
      </c>
      <c r="D120" t="s">
        <v>31</v>
      </c>
      <c r="E120" t="s">
        <v>32</v>
      </c>
      <c r="F120">
        <v>17</v>
      </c>
      <c r="G120">
        <v>70</v>
      </c>
      <c r="H120" t="s">
        <v>48</v>
      </c>
      <c r="I120">
        <v>0</v>
      </c>
      <c r="J120" t="s">
        <v>2</v>
      </c>
      <c r="K120" s="1">
        <v>9.0684027777777779E-4</v>
      </c>
      <c r="L120">
        <f t="shared" si="1"/>
        <v>6</v>
      </c>
    </row>
    <row r="121" spans="1:12" x14ac:dyDescent="0.3">
      <c r="A121" t="s">
        <v>54</v>
      </c>
      <c r="B121" t="s">
        <v>47</v>
      </c>
      <c r="C121">
        <v>18</v>
      </c>
      <c r="D121" t="s">
        <v>27</v>
      </c>
      <c r="E121" t="s">
        <v>26</v>
      </c>
      <c r="F121">
        <v>14</v>
      </c>
      <c r="G121">
        <v>53</v>
      </c>
      <c r="H121" t="s">
        <v>48</v>
      </c>
      <c r="I121">
        <v>0</v>
      </c>
      <c r="J121" t="s">
        <v>2</v>
      </c>
      <c r="K121" s="1">
        <v>9.0010416666666678E-4</v>
      </c>
      <c r="L121">
        <f t="shared" si="1"/>
        <v>6</v>
      </c>
    </row>
    <row r="122" spans="1:12" x14ac:dyDescent="0.3">
      <c r="A122" t="s">
        <v>56</v>
      </c>
      <c r="B122">
        <v>1</v>
      </c>
      <c r="C122">
        <v>1</v>
      </c>
      <c r="D122" t="s">
        <v>12</v>
      </c>
      <c r="E122" t="s">
        <v>13</v>
      </c>
      <c r="F122">
        <v>1</v>
      </c>
      <c r="G122">
        <v>66</v>
      </c>
      <c r="H122" s="1">
        <v>6.1087268518518513E-2</v>
      </c>
      <c r="I122">
        <v>26</v>
      </c>
      <c r="J122" t="s">
        <v>14</v>
      </c>
      <c r="K122" s="1">
        <v>8.8344907407407404E-4</v>
      </c>
      <c r="L122">
        <f t="shared" si="1"/>
        <v>7</v>
      </c>
    </row>
    <row r="123" spans="1:12" x14ac:dyDescent="0.3">
      <c r="A123" t="s">
        <v>56</v>
      </c>
      <c r="B123">
        <v>2</v>
      </c>
      <c r="C123">
        <v>44</v>
      </c>
      <c r="D123" t="s">
        <v>23</v>
      </c>
      <c r="E123" t="s">
        <v>20</v>
      </c>
      <c r="F123">
        <v>4</v>
      </c>
      <c r="G123">
        <v>66</v>
      </c>
      <c r="H123">
        <v>24.09</v>
      </c>
      <c r="I123">
        <v>18</v>
      </c>
      <c r="J123" t="s">
        <v>2</v>
      </c>
      <c r="K123" s="1">
        <v>8.8745370370370378E-4</v>
      </c>
      <c r="L123">
        <f t="shared" si="1"/>
        <v>7</v>
      </c>
    </row>
    <row r="124" spans="1:12" x14ac:dyDescent="0.3">
      <c r="A124" t="s">
        <v>56</v>
      </c>
      <c r="B124">
        <v>3</v>
      </c>
      <c r="C124">
        <v>63</v>
      </c>
      <c r="D124" t="s">
        <v>19</v>
      </c>
      <c r="E124" t="s">
        <v>20</v>
      </c>
      <c r="F124">
        <v>12</v>
      </c>
      <c r="G124">
        <v>66</v>
      </c>
      <c r="H124">
        <v>32.389000000000003</v>
      </c>
      <c r="I124">
        <v>15</v>
      </c>
      <c r="J124" t="s">
        <v>2</v>
      </c>
      <c r="K124" s="1">
        <v>9.0133101851851854E-4</v>
      </c>
      <c r="L124">
        <f t="shared" si="1"/>
        <v>7</v>
      </c>
    </row>
    <row r="125" spans="1:12" x14ac:dyDescent="0.3">
      <c r="A125" t="s">
        <v>56</v>
      </c>
      <c r="B125">
        <v>4</v>
      </c>
      <c r="C125">
        <v>11</v>
      </c>
      <c r="D125" t="s">
        <v>15</v>
      </c>
      <c r="E125" t="s">
        <v>13</v>
      </c>
      <c r="F125">
        <v>11</v>
      </c>
      <c r="G125">
        <v>66</v>
      </c>
      <c r="H125">
        <v>35.811999999999998</v>
      </c>
      <c r="I125">
        <v>12</v>
      </c>
      <c r="J125" t="s">
        <v>2</v>
      </c>
      <c r="K125" s="1">
        <v>8.8733796296296293E-4</v>
      </c>
      <c r="L125">
        <f t="shared" si="1"/>
        <v>7</v>
      </c>
    </row>
    <row r="126" spans="1:12" x14ac:dyDescent="0.3">
      <c r="A126" t="s">
        <v>56</v>
      </c>
      <c r="B126">
        <v>5</v>
      </c>
      <c r="C126">
        <v>55</v>
      </c>
      <c r="D126" t="s">
        <v>16</v>
      </c>
      <c r="E126" t="s">
        <v>17</v>
      </c>
      <c r="F126">
        <v>2</v>
      </c>
      <c r="G126">
        <v>66</v>
      </c>
      <c r="H126">
        <v>45.698</v>
      </c>
      <c r="I126">
        <v>10</v>
      </c>
      <c r="J126" t="s">
        <v>2</v>
      </c>
      <c r="K126" s="1">
        <v>9.0744212962962957E-4</v>
      </c>
      <c r="L126">
        <f t="shared" si="1"/>
        <v>7</v>
      </c>
    </row>
    <row r="127" spans="1:12" x14ac:dyDescent="0.3">
      <c r="A127" t="s">
        <v>56</v>
      </c>
      <c r="B127">
        <v>6</v>
      </c>
      <c r="C127">
        <v>18</v>
      </c>
      <c r="D127" t="s">
        <v>27</v>
      </c>
      <c r="E127" t="s">
        <v>26</v>
      </c>
      <c r="F127">
        <v>5</v>
      </c>
      <c r="G127">
        <v>66</v>
      </c>
      <c r="H127">
        <v>63.32</v>
      </c>
      <c r="I127">
        <v>8</v>
      </c>
      <c r="J127" t="s">
        <v>2</v>
      </c>
      <c r="K127" s="1">
        <v>9.1113425925925932E-4</v>
      </c>
      <c r="L127">
        <f t="shared" si="1"/>
        <v>7</v>
      </c>
    </row>
    <row r="128" spans="1:12" x14ac:dyDescent="0.3">
      <c r="A128" t="s">
        <v>56</v>
      </c>
      <c r="B128">
        <v>7</v>
      </c>
      <c r="C128">
        <v>14</v>
      </c>
      <c r="D128" t="s">
        <v>25</v>
      </c>
      <c r="E128" t="s">
        <v>26</v>
      </c>
      <c r="F128">
        <v>8</v>
      </c>
      <c r="G128">
        <v>66</v>
      </c>
      <c r="H128">
        <v>64.126999999999995</v>
      </c>
      <c r="I128">
        <v>6</v>
      </c>
      <c r="J128" t="s">
        <v>2</v>
      </c>
      <c r="K128" s="1">
        <v>9.0373842592592589E-4</v>
      </c>
      <c r="L128">
        <f t="shared" si="1"/>
        <v>7</v>
      </c>
    </row>
    <row r="129" spans="1:12" x14ac:dyDescent="0.3">
      <c r="A129" t="s">
        <v>56</v>
      </c>
      <c r="B129">
        <v>8</v>
      </c>
      <c r="C129">
        <v>31</v>
      </c>
      <c r="D129" t="s">
        <v>39</v>
      </c>
      <c r="E129" t="s">
        <v>40</v>
      </c>
      <c r="F129">
        <v>6</v>
      </c>
      <c r="G129">
        <v>66</v>
      </c>
      <c r="H129">
        <v>69.242000000000004</v>
      </c>
      <c r="I129">
        <v>4</v>
      </c>
      <c r="J129" t="s">
        <v>2</v>
      </c>
      <c r="K129" s="1">
        <v>9.1372685185185187E-4</v>
      </c>
      <c r="L129">
        <f t="shared" si="1"/>
        <v>7</v>
      </c>
    </row>
    <row r="130" spans="1:12" x14ac:dyDescent="0.3">
      <c r="A130" t="s">
        <v>56</v>
      </c>
      <c r="B130">
        <v>9</v>
      </c>
      <c r="C130">
        <v>24</v>
      </c>
      <c r="D130" t="s">
        <v>28</v>
      </c>
      <c r="E130" t="s">
        <v>90</v>
      </c>
      <c r="F130">
        <v>13</v>
      </c>
      <c r="G130">
        <v>66</v>
      </c>
      <c r="H130">
        <v>71.878</v>
      </c>
      <c r="I130">
        <v>2</v>
      </c>
      <c r="J130" t="s">
        <v>2</v>
      </c>
      <c r="K130" s="1">
        <v>9.1149305555555558E-4</v>
      </c>
      <c r="L130">
        <f t="shared" si="1"/>
        <v>7</v>
      </c>
    </row>
    <row r="131" spans="1:12" x14ac:dyDescent="0.3">
      <c r="A131" t="s">
        <v>56</v>
      </c>
      <c r="B131">
        <v>10</v>
      </c>
      <c r="C131">
        <v>10</v>
      </c>
      <c r="D131" t="s">
        <v>41</v>
      </c>
      <c r="E131" t="s">
        <v>40</v>
      </c>
      <c r="F131">
        <v>10</v>
      </c>
      <c r="G131">
        <v>66</v>
      </c>
      <c r="H131">
        <v>73.53</v>
      </c>
      <c r="I131">
        <v>1</v>
      </c>
      <c r="J131" t="s">
        <v>2</v>
      </c>
      <c r="K131" s="1">
        <v>9.0711805555555554E-4</v>
      </c>
      <c r="L131">
        <f t="shared" si="1"/>
        <v>7</v>
      </c>
    </row>
    <row r="132" spans="1:12" x14ac:dyDescent="0.3">
      <c r="A132" t="s">
        <v>56</v>
      </c>
      <c r="B132">
        <v>11</v>
      </c>
      <c r="C132">
        <v>16</v>
      </c>
      <c r="D132" t="s">
        <v>18</v>
      </c>
      <c r="E132" t="s">
        <v>17</v>
      </c>
      <c r="F132">
        <v>19</v>
      </c>
      <c r="G132">
        <v>66</v>
      </c>
      <c r="H132">
        <v>74.418999999999997</v>
      </c>
      <c r="I132">
        <v>0</v>
      </c>
      <c r="J132" t="s">
        <v>2</v>
      </c>
      <c r="K132" s="1">
        <v>9.0690972222222225E-4</v>
      </c>
      <c r="L132">
        <f t="shared" si="1"/>
        <v>7</v>
      </c>
    </row>
    <row r="133" spans="1:12" x14ac:dyDescent="0.3">
      <c r="A133" t="s">
        <v>56</v>
      </c>
      <c r="B133">
        <v>12</v>
      </c>
      <c r="C133">
        <v>22</v>
      </c>
      <c r="D133" t="s">
        <v>35</v>
      </c>
      <c r="E133" t="s">
        <v>91</v>
      </c>
      <c r="F133">
        <v>15</v>
      </c>
      <c r="G133">
        <v>66</v>
      </c>
      <c r="H133">
        <v>75.415999999999997</v>
      </c>
      <c r="I133">
        <v>0</v>
      </c>
      <c r="J133" t="s">
        <v>2</v>
      </c>
      <c r="K133" s="1">
        <v>9.1324074074074072E-4</v>
      </c>
      <c r="L133">
        <f t="shared" si="1"/>
        <v>7</v>
      </c>
    </row>
    <row r="134" spans="1:12" x14ac:dyDescent="0.3">
      <c r="A134" t="s">
        <v>56</v>
      </c>
      <c r="B134">
        <v>13</v>
      </c>
      <c r="C134">
        <v>81</v>
      </c>
      <c r="D134" t="s">
        <v>24</v>
      </c>
      <c r="E134" t="s">
        <v>22</v>
      </c>
      <c r="F134">
        <v>9</v>
      </c>
      <c r="G134">
        <v>65</v>
      </c>
      <c r="H134" t="s">
        <v>30</v>
      </c>
      <c r="I134">
        <v>0</v>
      </c>
      <c r="J134" t="s">
        <v>2</v>
      </c>
      <c r="K134" s="1">
        <v>9.1063657407407413E-4</v>
      </c>
      <c r="L134">
        <f t="shared" si="1"/>
        <v>7</v>
      </c>
    </row>
    <row r="135" spans="1:12" x14ac:dyDescent="0.3">
      <c r="A135" t="s">
        <v>56</v>
      </c>
      <c r="B135">
        <v>14</v>
      </c>
      <c r="C135">
        <v>21</v>
      </c>
      <c r="D135" t="s">
        <v>92</v>
      </c>
      <c r="E135" t="s">
        <v>91</v>
      </c>
      <c r="F135">
        <v>14</v>
      </c>
      <c r="G135">
        <v>65</v>
      </c>
      <c r="H135" t="s">
        <v>30</v>
      </c>
      <c r="I135">
        <v>0</v>
      </c>
      <c r="J135" t="s">
        <v>2</v>
      </c>
      <c r="K135" s="1">
        <v>9.0965277777777767E-4</v>
      </c>
      <c r="L135">
        <f t="shared" si="1"/>
        <v>7</v>
      </c>
    </row>
    <row r="136" spans="1:12" x14ac:dyDescent="0.3">
      <c r="A136" t="s">
        <v>56</v>
      </c>
      <c r="B136">
        <v>15</v>
      </c>
      <c r="C136">
        <v>27</v>
      </c>
      <c r="D136" t="s">
        <v>38</v>
      </c>
      <c r="E136" t="s">
        <v>32</v>
      </c>
      <c r="F136">
        <v>7</v>
      </c>
      <c r="G136">
        <v>65</v>
      </c>
      <c r="H136" t="s">
        <v>30</v>
      </c>
      <c r="I136">
        <v>0</v>
      </c>
      <c r="J136" t="s">
        <v>2</v>
      </c>
      <c r="K136" s="1">
        <v>9.1175925925925919E-4</v>
      </c>
      <c r="L136">
        <f t="shared" si="1"/>
        <v>7</v>
      </c>
    </row>
    <row r="137" spans="1:12" x14ac:dyDescent="0.3">
      <c r="A137" t="s">
        <v>56</v>
      </c>
      <c r="B137">
        <v>16</v>
      </c>
      <c r="C137">
        <v>23</v>
      </c>
      <c r="D137" t="s">
        <v>36</v>
      </c>
      <c r="E137" t="s">
        <v>37</v>
      </c>
      <c r="F137">
        <v>18</v>
      </c>
      <c r="G137">
        <v>65</v>
      </c>
      <c r="H137" t="s">
        <v>30</v>
      </c>
      <c r="I137">
        <v>0</v>
      </c>
      <c r="J137" t="s">
        <v>2</v>
      </c>
      <c r="K137" s="1">
        <v>9.158912037037037E-4</v>
      </c>
      <c r="L137">
        <f t="shared" si="1"/>
        <v>7</v>
      </c>
    </row>
    <row r="138" spans="1:12" x14ac:dyDescent="0.3">
      <c r="A138" t="s">
        <v>56</v>
      </c>
      <c r="B138">
        <v>17</v>
      </c>
      <c r="C138">
        <v>4</v>
      </c>
      <c r="D138" t="s">
        <v>21</v>
      </c>
      <c r="E138" t="s">
        <v>22</v>
      </c>
      <c r="F138">
        <v>3</v>
      </c>
      <c r="G138">
        <v>65</v>
      </c>
      <c r="H138" t="s">
        <v>30</v>
      </c>
      <c r="I138">
        <v>0</v>
      </c>
      <c r="J138" t="s">
        <v>2</v>
      </c>
      <c r="K138" s="1">
        <v>8.9331018518518524E-4</v>
      </c>
      <c r="L138">
        <f t="shared" si="1"/>
        <v>7</v>
      </c>
    </row>
    <row r="139" spans="1:12" x14ac:dyDescent="0.3">
      <c r="A139" t="s">
        <v>56</v>
      </c>
      <c r="B139">
        <v>18</v>
      </c>
      <c r="C139">
        <v>20</v>
      </c>
      <c r="D139" t="s">
        <v>31</v>
      </c>
      <c r="E139" t="s">
        <v>32</v>
      </c>
      <c r="F139">
        <v>17</v>
      </c>
      <c r="G139">
        <v>65</v>
      </c>
      <c r="H139" t="s">
        <v>30</v>
      </c>
      <c r="I139">
        <v>0</v>
      </c>
      <c r="J139" t="s">
        <v>2</v>
      </c>
      <c r="K139" s="1">
        <v>9.0357638888888888E-4</v>
      </c>
      <c r="L139">
        <f t="shared" si="1"/>
        <v>7</v>
      </c>
    </row>
    <row r="140" spans="1:12" x14ac:dyDescent="0.3">
      <c r="A140" t="s">
        <v>56</v>
      </c>
      <c r="B140">
        <v>19</v>
      </c>
      <c r="C140">
        <v>77</v>
      </c>
      <c r="D140" t="s">
        <v>42</v>
      </c>
      <c r="E140" t="s">
        <v>90</v>
      </c>
      <c r="F140">
        <v>16</v>
      </c>
      <c r="G140">
        <v>65</v>
      </c>
      <c r="H140" t="s">
        <v>30</v>
      </c>
      <c r="I140">
        <v>0</v>
      </c>
      <c r="J140" t="s">
        <v>2</v>
      </c>
      <c r="K140" s="1">
        <v>9.055787037037038E-4</v>
      </c>
      <c r="L140">
        <f t="shared" si="1"/>
        <v>7</v>
      </c>
    </row>
    <row r="141" spans="1:12" x14ac:dyDescent="0.3">
      <c r="A141" t="s">
        <v>56</v>
      </c>
      <c r="B141">
        <v>20</v>
      </c>
      <c r="C141">
        <v>2</v>
      </c>
      <c r="D141" t="s">
        <v>43</v>
      </c>
      <c r="E141" t="s">
        <v>37</v>
      </c>
      <c r="F141">
        <v>20</v>
      </c>
      <c r="G141">
        <v>65</v>
      </c>
      <c r="H141" t="s">
        <v>30</v>
      </c>
      <c r="I141">
        <v>0</v>
      </c>
      <c r="J141" t="s">
        <v>2</v>
      </c>
      <c r="K141" s="1">
        <v>9.1721064814814812E-4</v>
      </c>
      <c r="L141">
        <f t="shared" si="1"/>
        <v>7</v>
      </c>
    </row>
    <row r="142" spans="1:12" x14ac:dyDescent="0.3">
      <c r="A142" t="s">
        <v>55</v>
      </c>
      <c r="B142">
        <v>1</v>
      </c>
      <c r="C142">
        <v>1</v>
      </c>
      <c r="D142" t="s">
        <v>12</v>
      </c>
      <c r="E142" t="s">
        <v>13</v>
      </c>
      <c r="F142">
        <v>1</v>
      </c>
      <c r="G142">
        <v>70</v>
      </c>
      <c r="H142" s="1">
        <v>6.5258657407407411E-2</v>
      </c>
      <c r="I142">
        <v>25</v>
      </c>
      <c r="J142" t="s">
        <v>2</v>
      </c>
      <c r="K142" s="1">
        <v>8.7493055555555544E-4</v>
      </c>
      <c r="L142">
        <f t="shared" si="1"/>
        <v>8</v>
      </c>
    </row>
    <row r="143" spans="1:12" x14ac:dyDescent="0.3">
      <c r="A143" t="s">
        <v>55</v>
      </c>
      <c r="B143">
        <v>2</v>
      </c>
      <c r="C143">
        <v>14</v>
      </c>
      <c r="D143" t="s">
        <v>25</v>
      </c>
      <c r="E143" t="s">
        <v>26</v>
      </c>
      <c r="F143">
        <v>2</v>
      </c>
      <c r="G143">
        <v>70</v>
      </c>
      <c r="H143">
        <v>9.57</v>
      </c>
      <c r="I143">
        <v>18</v>
      </c>
      <c r="J143" t="s">
        <v>2</v>
      </c>
      <c r="K143" s="1">
        <v>8.7707175925925919E-4</v>
      </c>
      <c r="L143">
        <f t="shared" si="1"/>
        <v>8</v>
      </c>
    </row>
    <row r="144" spans="1:12" x14ac:dyDescent="0.3">
      <c r="A144" t="s">
        <v>55</v>
      </c>
      <c r="B144">
        <v>3</v>
      </c>
      <c r="C144">
        <v>44</v>
      </c>
      <c r="D144" t="s">
        <v>23</v>
      </c>
      <c r="E144" t="s">
        <v>20</v>
      </c>
      <c r="F144">
        <v>3</v>
      </c>
      <c r="G144">
        <v>70</v>
      </c>
      <c r="H144">
        <v>14.167999999999999</v>
      </c>
      <c r="I144">
        <v>15</v>
      </c>
      <c r="J144" t="s">
        <v>2</v>
      </c>
      <c r="K144" s="1">
        <v>8.7263888888888894E-4</v>
      </c>
      <c r="L144">
        <f t="shared" si="1"/>
        <v>8</v>
      </c>
    </row>
    <row r="145" spans="1:12" x14ac:dyDescent="0.3">
      <c r="A145" t="s">
        <v>55</v>
      </c>
      <c r="B145">
        <v>4</v>
      </c>
      <c r="C145">
        <v>16</v>
      </c>
      <c r="D145" t="s">
        <v>18</v>
      </c>
      <c r="E145" t="s">
        <v>17</v>
      </c>
      <c r="F145">
        <v>10</v>
      </c>
      <c r="G145">
        <v>70</v>
      </c>
      <c r="H145">
        <v>18.648</v>
      </c>
      <c r="I145">
        <v>12</v>
      </c>
      <c r="J145" t="s">
        <v>2</v>
      </c>
      <c r="K145" s="1">
        <v>8.7855324074074073E-4</v>
      </c>
      <c r="L145">
        <f t="shared" si="1"/>
        <v>8</v>
      </c>
    </row>
    <row r="146" spans="1:12" x14ac:dyDescent="0.3">
      <c r="A146" t="s">
        <v>55</v>
      </c>
      <c r="B146">
        <v>5</v>
      </c>
      <c r="C146">
        <v>55</v>
      </c>
      <c r="D146" t="s">
        <v>16</v>
      </c>
      <c r="E146" t="s">
        <v>17</v>
      </c>
      <c r="F146">
        <v>11</v>
      </c>
      <c r="G146">
        <v>70</v>
      </c>
      <c r="H146">
        <v>21.54</v>
      </c>
      <c r="I146">
        <v>10</v>
      </c>
      <c r="J146" t="s">
        <v>2</v>
      </c>
      <c r="K146" s="1">
        <v>8.78599537037037E-4</v>
      </c>
      <c r="L146">
        <f t="shared" si="1"/>
        <v>8</v>
      </c>
    </row>
    <row r="147" spans="1:12" x14ac:dyDescent="0.3">
      <c r="A147" t="s">
        <v>55</v>
      </c>
      <c r="B147">
        <v>6</v>
      </c>
      <c r="C147">
        <v>11</v>
      </c>
      <c r="D147" t="s">
        <v>15</v>
      </c>
      <c r="E147" t="s">
        <v>13</v>
      </c>
      <c r="F147">
        <v>12</v>
      </c>
      <c r="G147">
        <v>70</v>
      </c>
      <c r="H147">
        <v>51.027999999999999</v>
      </c>
      <c r="I147">
        <v>9</v>
      </c>
      <c r="J147" t="s">
        <v>14</v>
      </c>
      <c r="K147" s="1">
        <v>8.6204861111111107E-4</v>
      </c>
      <c r="L147">
        <f t="shared" si="1"/>
        <v>8</v>
      </c>
    </row>
    <row r="148" spans="1:12" x14ac:dyDescent="0.3">
      <c r="A148" t="s">
        <v>55</v>
      </c>
      <c r="B148">
        <v>7</v>
      </c>
      <c r="C148">
        <v>23</v>
      </c>
      <c r="D148" t="s">
        <v>36</v>
      </c>
      <c r="E148" t="s">
        <v>37</v>
      </c>
      <c r="F148">
        <v>9</v>
      </c>
      <c r="G148">
        <v>70</v>
      </c>
      <c r="H148">
        <v>60.813000000000002</v>
      </c>
      <c r="I148">
        <v>6</v>
      </c>
      <c r="J148" t="s">
        <v>2</v>
      </c>
      <c r="K148" s="1">
        <v>8.9024305555555558E-4</v>
      </c>
      <c r="L148">
        <f t="shared" si="1"/>
        <v>8</v>
      </c>
    </row>
    <row r="149" spans="1:12" x14ac:dyDescent="0.3">
      <c r="A149" t="s">
        <v>55</v>
      </c>
      <c r="B149">
        <v>8</v>
      </c>
      <c r="C149">
        <v>31</v>
      </c>
      <c r="D149" t="s">
        <v>39</v>
      </c>
      <c r="E149" t="s">
        <v>40</v>
      </c>
      <c r="F149">
        <v>6</v>
      </c>
      <c r="G149">
        <v>70</v>
      </c>
      <c r="H149">
        <v>61.692</v>
      </c>
      <c r="I149">
        <v>4</v>
      </c>
      <c r="J149" t="s">
        <v>2</v>
      </c>
      <c r="K149" s="1">
        <v>8.8868055555555553E-4</v>
      </c>
      <c r="L149">
        <f t="shared" si="1"/>
        <v>8</v>
      </c>
    </row>
    <row r="150" spans="1:12" x14ac:dyDescent="0.3">
      <c r="A150" t="s">
        <v>55</v>
      </c>
      <c r="B150">
        <v>9</v>
      </c>
      <c r="C150">
        <v>18</v>
      </c>
      <c r="D150" t="s">
        <v>27</v>
      </c>
      <c r="E150" t="s">
        <v>26</v>
      </c>
      <c r="F150">
        <v>16</v>
      </c>
      <c r="G150">
        <v>70</v>
      </c>
      <c r="H150">
        <v>64.402000000000001</v>
      </c>
      <c r="I150">
        <v>2</v>
      </c>
      <c r="J150" t="s">
        <v>2</v>
      </c>
      <c r="K150" s="1">
        <v>8.8615740740740734E-4</v>
      </c>
      <c r="L150">
        <f t="shared" si="1"/>
        <v>8</v>
      </c>
    </row>
    <row r="151" spans="1:12" x14ac:dyDescent="0.3">
      <c r="A151" t="s">
        <v>55</v>
      </c>
      <c r="B151">
        <v>10</v>
      </c>
      <c r="C151">
        <v>77</v>
      </c>
      <c r="D151" t="s">
        <v>42</v>
      </c>
      <c r="E151" t="s">
        <v>90</v>
      </c>
      <c r="F151">
        <v>14</v>
      </c>
      <c r="G151">
        <v>70</v>
      </c>
      <c r="H151">
        <v>64.432000000000002</v>
      </c>
      <c r="I151">
        <v>1</v>
      </c>
      <c r="J151" t="s">
        <v>2</v>
      </c>
      <c r="K151" s="1">
        <v>8.8686342592592593E-4</v>
      </c>
      <c r="L151">
        <f t="shared" ref="L151:L214" si="2">L131+1</f>
        <v>8</v>
      </c>
    </row>
    <row r="152" spans="1:12" x14ac:dyDescent="0.3">
      <c r="A152" t="s">
        <v>55</v>
      </c>
      <c r="B152">
        <v>11</v>
      </c>
      <c r="C152">
        <v>81</v>
      </c>
      <c r="D152" t="s">
        <v>24</v>
      </c>
      <c r="E152" t="s">
        <v>22</v>
      </c>
      <c r="F152">
        <v>8</v>
      </c>
      <c r="G152">
        <v>70</v>
      </c>
      <c r="H152">
        <v>65.100999999999999</v>
      </c>
      <c r="I152">
        <v>0</v>
      </c>
      <c r="J152" t="s">
        <v>2</v>
      </c>
      <c r="K152" s="1">
        <v>8.8655092592592594E-4</v>
      </c>
      <c r="L152">
        <f t="shared" si="2"/>
        <v>8</v>
      </c>
    </row>
    <row r="153" spans="1:12" x14ac:dyDescent="0.3">
      <c r="A153" t="s">
        <v>55</v>
      </c>
      <c r="B153">
        <v>12</v>
      </c>
      <c r="C153">
        <v>10</v>
      </c>
      <c r="D153" t="s">
        <v>41</v>
      </c>
      <c r="E153" t="s">
        <v>40</v>
      </c>
      <c r="F153">
        <v>15</v>
      </c>
      <c r="G153">
        <v>70</v>
      </c>
      <c r="H153">
        <v>65.248999999999995</v>
      </c>
      <c r="I153">
        <v>0</v>
      </c>
      <c r="J153" t="s">
        <v>2</v>
      </c>
      <c r="K153" s="1">
        <v>8.8454861111111113E-4</v>
      </c>
      <c r="L153">
        <f t="shared" si="2"/>
        <v>8</v>
      </c>
    </row>
    <row r="154" spans="1:12" x14ac:dyDescent="0.3">
      <c r="A154" t="s">
        <v>55</v>
      </c>
      <c r="B154">
        <v>13</v>
      </c>
      <c r="C154">
        <v>4</v>
      </c>
      <c r="D154" t="s">
        <v>21</v>
      </c>
      <c r="E154" t="s">
        <v>22</v>
      </c>
      <c r="F154">
        <v>7</v>
      </c>
      <c r="G154">
        <v>70</v>
      </c>
      <c r="H154">
        <v>68.363</v>
      </c>
      <c r="I154">
        <v>0</v>
      </c>
      <c r="J154" t="s">
        <v>2</v>
      </c>
      <c r="K154" s="1">
        <v>8.8395833333333328E-4</v>
      </c>
      <c r="L154">
        <f t="shared" si="2"/>
        <v>8</v>
      </c>
    </row>
    <row r="155" spans="1:12" x14ac:dyDescent="0.3">
      <c r="A155" t="s">
        <v>55</v>
      </c>
      <c r="B155">
        <v>14</v>
      </c>
      <c r="C155">
        <v>22</v>
      </c>
      <c r="D155" t="s">
        <v>35</v>
      </c>
      <c r="E155" t="s">
        <v>91</v>
      </c>
      <c r="F155">
        <v>19</v>
      </c>
      <c r="G155">
        <v>70</v>
      </c>
      <c r="H155">
        <v>73.423000000000002</v>
      </c>
      <c r="I155">
        <v>0</v>
      </c>
      <c r="J155" t="s">
        <v>2</v>
      </c>
      <c r="K155" s="1">
        <v>8.8733796296296293E-4</v>
      </c>
      <c r="L155">
        <f t="shared" si="2"/>
        <v>8</v>
      </c>
    </row>
    <row r="156" spans="1:12" x14ac:dyDescent="0.3">
      <c r="A156" t="s">
        <v>55</v>
      </c>
      <c r="B156">
        <v>15</v>
      </c>
      <c r="C156">
        <v>27</v>
      </c>
      <c r="D156" t="s">
        <v>38</v>
      </c>
      <c r="E156" t="s">
        <v>32</v>
      </c>
      <c r="F156">
        <v>5</v>
      </c>
      <c r="G156">
        <v>69</v>
      </c>
      <c r="H156" t="s">
        <v>30</v>
      </c>
      <c r="I156">
        <v>0</v>
      </c>
      <c r="J156" t="s">
        <v>2</v>
      </c>
      <c r="K156" s="1">
        <v>8.9388888888888884E-4</v>
      </c>
      <c r="L156">
        <f t="shared" si="2"/>
        <v>8</v>
      </c>
    </row>
    <row r="157" spans="1:12" x14ac:dyDescent="0.3">
      <c r="A157" t="s">
        <v>55</v>
      </c>
      <c r="B157">
        <v>16</v>
      </c>
      <c r="C157">
        <v>24</v>
      </c>
      <c r="D157" t="s">
        <v>28</v>
      </c>
      <c r="E157" t="s">
        <v>90</v>
      </c>
      <c r="F157">
        <v>20</v>
      </c>
      <c r="G157">
        <v>69</v>
      </c>
      <c r="H157" t="s">
        <v>30</v>
      </c>
      <c r="I157">
        <v>0</v>
      </c>
      <c r="J157" t="s">
        <v>2</v>
      </c>
      <c r="K157" s="1">
        <v>8.9224537037037039E-4</v>
      </c>
      <c r="L157">
        <f t="shared" si="2"/>
        <v>8</v>
      </c>
    </row>
    <row r="158" spans="1:12" x14ac:dyDescent="0.3">
      <c r="A158" t="s">
        <v>55</v>
      </c>
      <c r="B158">
        <v>17</v>
      </c>
      <c r="C158">
        <v>20</v>
      </c>
      <c r="D158" t="s">
        <v>31</v>
      </c>
      <c r="E158" t="s">
        <v>32</v>
      </c>
      <c r="F158">
        <v>13</v>
      </c>
      <c r="G158">
        <v>69</v>
      </c>
      <c r="H158" t="s">
        <v>30</v>
      </c>
      <c r="I158">
        <v>0</v>
      </c>
      <c r="J158" t="s">
        <v>2</v>
      </c>
      <c r="K158" s="1">
        <v>8.8108796296296297E-4</v>
      </c>
      <c r="L158">
        <f t="shared" si="2"/>
        <v>8</v>
      </c>
    </row>
    <row r="159" spans="1:12" x14ac:dyDescent="0.3">
      <c r="A159" t="s">
        <v>55</v>
      </c>
      <c r="B159">
        <v>18</v>
      </c>
      <c r="C159">
        <v>21</v>
      </c>
      <c r="D159" t="s">
        <v>92</v>
      </c>
      <c r="E159" t="s">
        <v>91</v>
      </c>
      <c r="F159">
        <v>17</v>
      </c>
      <c r="G159">
        <v>69</v>
      </c>
      <c r="H159" t="s">
        <v>30</v>
      </c>
      <c r="I159">
        <v>0</v>
      </c>
      <c r="J159" t="s">
        <v>2</v>
      </c>
      <c r="K159" s="1">
        <v>8.872222222222223E-4</v>
      </c>
      <c r="L159">
        <f t="shared" si="2"/>
        <v>8</v>
      </c>
    </row>
    <row r="160" spans="1:12" x14ac:dyDescent="0.3">
      <c r="A160" t="s">
        <v>55</v>
      </c>
      <c r="B160" t="s">
        <v>47</v>
      </c>
      <c r="C160">
        <v>63</v>
      </c>
      <c r="D160" t="s">
        <v>19</v>
      </c>
      <c r="E160" t="s">
        <v>20</v>
      </c>
      <c r="F160">
        <v>4</v>
      </c>
      <c r="G160">
        <v>53</v>
      </c>
      <c r="H160" t="s">
        <v>48</v>
      </c>
      <c r="I160">
        <v>0</v>
      </c>
      <c r="J160" t="s">
        <v>2</v>
      </c>
      <c r="K160" s="1">
        <v>8.9232638888888901E-4</v>
      </c>
      <c r="L160">
        <f t="shared" si="2"/>
        <v>8</v>
      </c>
    </row>
    <row r="161" spans="1:12" x14ac:dyDescent="0.3">
      <c r="A161" t="s">
        <v>55</v>
      </c>
      <c r="B161" t="s">
        <v>47</v>
      </c>
      <c r="C161">
        <v>2</v>
      </c>
      <c r="D161" t="s">
        <v>43</v>
      </c>
      <c r="E161" t="s">
        <v>37</v>
      </c>
      <c r="F161">
        <v>18</v>
      </c>
      <c r="G161">
        <v>6</v>
      </c>
      <c r="H161" t="s">
        <v>48</v>
      </c>
      <c r="I161">
        <v>0</v>
      </c>
      <c r="J161" t="s">
        <v>2</v>
      </c>
      <c r="K161" s="1">
        <v>9.0783564814814817E-4</v>
      </c>
      <c r="L161">
        <f t="shared" si="2"/>
        <v>8</v>
      </c>
    </row>
    <row r="162" spans="1:12" x14ac:dyDescent="0.3">
      <c r="A162" t="s">
        <v>57</v>
      </c>
      <c r="B162">
        <v>1</v>
      </c>
      <c r="C162">
        <v>1</v>
      </c>
      <c r="D162" t="s">
        <v>12</v>
      </c>
      <c r="E162" t="s">
        <v>13</v>
      </c>
      <c r="F162">
        <v>1</v>
      </c>
      <c r="G162">
        <v>71</v>
      </c>
      <c r="H162" s="1">
        <v>5.9416747685185185E-2</v>
      </c>
      <c r="I162">
        <v>26</v>
      </c>
      <c r="J162" t="s">
        <v>14</v>
      </c>
      <c r="K162" s="1">
        <v>7.7560185185185186E-4</v>
      </c>
      <c r="L162">
        <f t="shared" si="2"/>
        <v>9</v>
      </c>
    </row>
    <row r="163" spans="1:12" x14ac:dyDescent="0.3">
      <c r="A163" t="s">
        <v>57</v>
      </c>
      <c r="B163">
        <v>2</v>
      </c>
      <c r="C163">
        <v>16</v>
      </c>
      <c r="D163" t="s">
        <v>18</v>
      </c>
      <c r="E163" t="s">
        <v>17</v>
      </c>
      <c r="F163">
        <v>2</v>
      </c>
      <c r="G163">
        <v>71</v>
      </c>
      <c r="H163">
        <v>5.1550000000000002</v>
      </c>
      <c r="I163">
        <v>18</v>
      </c>
      <c r="J163" t="s">
        <v>2</v>
      </c>
      <c r="K163" s="1">
        <v>7.9652777777777773E-4</v>
      </c>
      <c r="L163">
        <f t="shared" si="2"/>
        <v>9</v>
      </c>
    </row>
    <row r="164" spans="1:12" x14ac:dyDescent="0.3">
      <c r="A164" t="s">
        <v>57</v>
      </c>
      <c r="B164">
        <v>3</v>
      </c>
      <c r="C164">
        <v>11</v>
      </c>
      <c r="D164" t="s">
        <v>15</v>
      </c>
      <c r="E164" t="s">
        <v>13</v>
      </c>
      <c r="F164">
        <v>15</v>
      </c>
      <c r="G164">
        <v>71</v>
      </c>
      <c r="H164">
        <v>17.187999999999999</v>
      </c>
      <c r="I164">
        <v>15</v>
      </c>
      <c r="J164" t="s">
        <v>2</v>
      </c>
      <c r="K164" s="1">
        <v>7.8832175925925934E-4</v>
      </c>
      <c r="L164">
        <f t="shared" si="2"/>
        <v>9</v>
      </c>
    </row>
    <row r="165" spans="1:12" x14ac:dyDescent="0.3">
      <c r="A165" t="s">
        <v>57</v>
      </c>
      <c r="B165">
        <v>4</v>
      </c>
      <c r="C165">
        <v>4</v>
      </c>
      <c r="D165" t="s">
        <v>21</v>
      </c>
      <c r="E165" t="s">
        <v>22</v>
      </c>
      <c r="F165">
        <v>4</v>
      </c>
      <c r="G165">
        <v>71</v>
      </c>
      <c r="H165">
        <v>26.327000000000002</v>
      </c>
      <c r="I165">
        <v>12</v>
      </c>
      <c r="J165" t="s">
        <v>2</v>
      </c>
      <c r="K165" s="1">
        <v>7.9559027777777788E-4</v>
      </c>
      <c r="L165">
        <f t="shared" si="2"/>
        <v>9</v>
      </c>
    </row>
    <row r="166" spans="1:12" x14ac:dyDescent="0.3">
      <c r="A166" t="s">
        <v>57</v>
      </c>
      <c r="B166">
        <v>5</v>
      </c>
      <c r="C166">
        <v>14</v>
      </c>
      <c r="D166" t="s">
        <v>25</v>
      </c>
      <c r="E166" t="s">
        <v>26</v>
      </c>
      <c r="F166">
        <v>7</v>
      </c>
      <c r="G166">
        <v>71</v>
      </c>
      <c r="H166">
        <v>30.317</v>
      </c>
      <c r="I166">
        <v>10</v>
      </c>
      <c r="J166" t="s">
        <v>2</v>
      </c>
      <c r="K166" s="1">
        <v>7.9986111111111111E-4</v>
      </c>
      <c r="L166">
        <f t="shared" si="2"/>
        <v>9</v>
      </c>
    </row>
    <row r="167" spans="1:12" x14ac:dyDescent="0.3">
      <c r="A167" t="s">
        <v>57</v>
      </c>
      <c r="B167">
        <v>6</v>
      </c>
      <c r="C167">
        <v>55</v>
      </c>
      <c r="D167" t="s">
        <v>16</v>
      </c>
      <c r="E167" t="s">
        <v>17</v>
      </c>
      <c r="F167">
        <v>3</v>
      </c>
      <c r="G167">
        <v>71</v>
      </c>
      <c r="H167">
        <v>31.376999999999999</v>
      </c>
      <c r="I167">
        <v>8</v>
      </c>
      <c r="J167" t="s">
        <v>2</v>
      </c>
      <c r="K167" s="1">
        <v>7.9722222222222217E-4</v>
      </c>
      <c r="L167">
        <f t="shared" si="2"/>
        <v>9</v>
      </c>
    </row>
    <row r="168" spans="1:12" x14ac:dyDescent="0.3">
      <c r="A168" t="s">
        <v>57</v>
      </c>
      <c r="B168">
        <v>7</v>
      </c>
      <c r="C168">
        <v>63</v>
      </c>
      <c r="D168" t="s">
        <v>19</v>
      </c>
      <c r="E168" t="s">
        <v>20</v>
      </c>
      <c r="F168">
        <v>11</v>
      </c>
      <c r="G168">
        <v>71</v>
      </c>
      <c r="H168">
        <v>48.402999999999999</v>
      </c>
      <c r="I168">
        <v>6</v>
      </c>
      <c r="J168" t="s">
        <v>2</v>
      </c>
      <c r="K168" s="1">
        <v>8.0188657407407411E-4</v>
      </c>
      <c r="L168">
        <f t="shared" si="2"/>
        <v>9</v>
      </c>
    </row>
    <row r="169" spans="1:12" x14ac:dyDescent="0.3">
      <c r="A169" t="s">
        <v>57</v>
      </c>
      <c r="B169">
        <v>8</v>
      </c>
      <c r="C169">
        <v>44</v>
      </c>
      <c r="D169" t="s">
        <v>23</v>
      </c>
      <c r="E169" t="s">
        <v>20</v>
      </c>
      <c r="F169">
        <v>5</v>
      </c>
      <c r="G169">
        <v>71</v>
      </c>
      <c r="H169">
        <v>49.195999999999998</v>
      </c>
      <c r="I169">
        <v>4</v>
      </c>
      <c r="J169" t="s">
        <v>2</v>
      </c>
      <c r="K169" s="1">
        <v>8.0046296296296289E-4</v>
      </c>
      <c r="L169">
        <f t="shared" si="2"/>
        <v>9</v>
      </c>
    </row>
    <row r="170" spans="1:12" x14ac:dyDescent="0.3">
      <c r="A170" t="s">
        <v>57</v>
      </c>
      <c r="B170">
        <v>9</v>
      </c>
      <c r="C170">
        <v>18</v>
      </c>
      <c r="D170" t="s">
        <v>27</v>
      </c>
      <c r="E170" t="s">
        <v>26</v>
      </c>
      <c r="F170">
        <v>6</v>
      </c>
      <c r="G170">
        <v>71</v>
      </c>
      <c r="H170">
        <v>59.042999999999999</v>
      </c>
      <c r="I170">
        <v>2</v>
      </c>
      <c r="J170" t="s">
        <v>2</v>
      </c>
      <c r="K170" s="1">
        <v>7.9239583333333321E-4</v>
      </c>
      <c r="L170">
        <f t="shared" si="2"/>
        <v>9</v>
      </c>
    </row>
    <row r="171" spans="1:12" x14ac:dyDescent="0.3">
      <c r="A171" t="s">
        <v>57</v>
      </c>
      <c r="B171">
        <v>10</v>
      </c>
      <c r="C171">
        <v>10</v>
      </c>
      <c r="D171" t="s">
        <v>41</v>
      </c>
      <c r="E171" t="s">
        <v>40</v>
      </c>
      <c r="F171">
        <v>9</v>
      </c>
      <c r="G171">
        <v>71</v>
      </c>
      <c r="H171">
        <v>67.667000000000002</v>
      </c>
      <c r="I171">
        <v>1</v>
      </c>
      <c r="J171" t="s">
        <v>2</v>
      </c>
      <c r="K171" s="1">
        <v>7.9914351851851848E-4</v>
      </c>
      <c r="L171">
        <f t="shared" si="2"/>
        <v>9</v>
      </c>
    </row>
    <row r="172" spans="1:12" x14ac:dyDescent="0.3">
      <c r="A172" t="s">
        <v>57</v>
      </c>
      <c r="B172">
        <v>11</v>
      </c>
      <c r="C172">
        <v>23</v>
      </c>
      <c r="D172" t="s">
        <v>36</v>
      </c>
      <c r="E172" t="s">
        <v>37</v>
      </c>
      <c r="F172">
        <v>10</v>
      </c>
      <c r="G172">
        <v>71</v>
      </c>
      <c r="H172">
        <v>79.766999999999996</v>
      </c>
      <c r="I172">
        <v>0</v>
      </c>
      <c r="J172" t="s">
        <v>2</v>
      </c>
      <c r="K172" s="1">
        <v>8.050925925925926E-4</v>
      </c>
      <c r="L172">
        <f t="shared" si="2"/>
        <v>9</v>
      </c>
    </row>
    <row r="173" spans="1:12" x14ac:dyDescent="0.3">
      <c r="A173" t="s">
        <v>57</v>
      </c>
      <c r="B173">
        <v>12</v>
      </c>
      <c r="C173">
        <v>24</v>
      </c>
      <c r="D173" t="s">
        <v>28</v>
      </c>
      <c r="E173" t="s">
        <v>90</v>
      </c>
      <c r="F173">
        <v>17</v>
      </c>
      <c r="G173">
        <v>70</v>
      </c>
      <c r="H173" t="s">
        <v>30</v>
      </c>
      <c r="I173">
        <v>0</v>
      </c>
      <c r="J173" t="s">
        <v>2</v>
      </c>
      <c r="K173" s="1">
        <v>8.0770833333333335E-4</v>
      </c>
      <c r="L173">
        <f t="shared" si="2"/>
        <v>9</v>
      </c>
    </row>
    <row r="174" spans="1:12" x14ac:dyDescent="0.3">
      <c r="A174" t="s">
        <v>57</v>
      </c>
      <c r="B174">
        <v>13</v>
      </c>
      <c r="C174">
        <v>2</v>
      </c>
      <c r="D174" t="s">
        <v>43</v>
      </c>
      <c r="E174" t="s">
        <v>37</v>
      </c>
      <c r="F174">
        <v>18</v>
      </c>
      <c r="G174">
        <v>70</v>
      </c>
      <c r="H174" t="s">
        <v>30</v>
      </c>
      <c r="I174">
        <v>0</v>
      </c>
      <c r="J174" t="s">
        <v>2</v>
      </c>
      <c r="K174" s="1">
        <v>8.0568287037037045E-4</v>
      </c>
      <c r="L174">
        <f t="shared" si="2"/>
        <v>9</v>
      </c>
    </row>
    <row r="175" spans="1:12" x14ac:dyDescent="0.3">
      <c r="A175" t="s">
        <v>57</v>
      </c>
      <c r="B175">
        <v>14</v>
      </c>
      <c r="C175">
        <v>31</v>
      </c>
      <c r="D175" t="s">
        <v>39</v>
      </c>
      <c r="E175" t="s">
        <v>40</v>
      </c>
      <c r="F175">
        <v>12</v>
      </c>
      <c r="G175">
        <v>70</v>
      </c>
      <c r="H175" t="s">
        <v>30</v>
      </c>
      <c r="I175">
        <v>0</v>
      </c>
      <c r="J175" t="s">
        <v>2</v>
      </c>
      <c r="K175" s="1">
        <v>8.0783564814814813E-4</v>
      </c>
      <c r="L175">
        <f t="shared" si="2"/>
        <v>9</v>
      </c>
    </row>
    <row r="176" spans="1:12" x14ac:dyDescent="0.3">
      <c r="A176" t="s">
        <v>57</v>
      </c>
      <c r="B176">
        <v>15</v>
      </c>
      <c r="C176">
        <v>77</v>
      </c>
      <c r="D176" t="s">
        <v>42</v>
      </c>
      <c r="E176" t="s">
        <v>90</v>
      </c>
      <c r="F176">
        <v>14</v>
      </c>
      <c r="G176">
        <v>70</v>
      </c>
      <c r="H176" t="s">
        <v>30</v>
      </c>
      <c r="I176">
        <v>0</v>
      </c>
      <c r="J176" t="s">
        <v>2</v>
      </c>
      <c r="K176" s="1">
        <v>8.0949074074074072E-4</v>
      </c>
      <c r="L176">
        <f t="shared" si="2"/>
        <v>9</v>
      </c>
    </row>
    <row r="177" spans="1:12" x14ac:dyDescent="0.3">
      <c r="A177" t="s">
        <v>57</v>
      </c>
      <c r="B177">
        <v>16</v>
      </c>
      <c r="C177">
        <v>81</v>
      </c>
      <c r="D177" t="s">
        <v>24</v>
      </c>
      <c r="E177" t="s">
        <v>22</v>
      </c>
      <c r="F177">
        <v>13</v>
      </c>
      <c r="G177">
        <v>70</v>
      </c>
      <c r="H177" t="s">
        <v>30</v>
      </c>
      <c r="I177">
        <v>0</v>
      </c>
      <c r="J177" t="s">
        <v>2</v>
      </c>
      <c r="K177" s="1">
        <v>8.0858796296296288E-4</v>
      </c>
      <c r="L177">
        <f t="shared" si="2"/>
        <v>9</v>
      </c>
    </row>
    <row r="178" spans="1:12" x14ac:dyDescent="0.3">
      <c r="A178" t="s">
        <v>57</v>
      </c>
      <c r="B178">
        <v>17</v>
      </c>
      <c r="C178">
        <v>21</v>
      </c>
      <c r="D178" t="s">
        <v>92</v>
      </c>
      <c r="E178" t="s">
        <v>91</v>
      </c>
      <c r="F178">
        <v>20</v>
      </c>
      <c r="G178">
        <v>70</v>
      </c>
      <c r="H178" t="s">
        <v>30</v>
      </c>
      <c r="I178">
        <v>0</v>
      </c>
      <c r="J178" t="s">
        <v>2</v>
      </c>
      <c r="K178" s="1">
        <v>8.0847222222222225E-4</v>
      </c>
      <c r="L178">
        <f t="shared" si="2"/>
        <v>9</v>
      </c>
    </row>
    <row r="179" spans="1:12" x14ac:dyDescent="0.3">
      <c r="A179" t="s">
        <v>57</v>
      </c>
      <c r="B179">
        <v>18</v>
      </c>
      <c r="C179">
        <v>20</v>
      </c>
      <c r="D179" t="s">
        <v>31</v>
      </c>
      <c r="E179" t="s">
        <v>32</v>
      </c>
      <c r="F179">
        <v>19</v>
      </c>
      <c r="G179">
        <v>70</v>
      </c>
      <c r="H179" t="s">
        <v>30</v>
      </c>
      <c r="I179">
        <v>0</v>
      </c>
      <c r="J179" t="s">
        <v>2</v>
      </c>
      <c r="K179" s="1">
        <v>8.1222222222222221E-4</v>
      </c>
      <c r="L179">
        <f t="shared" si="2"/>
        <v>9</v>
      </c>
    </row>
    <row r="180" spans="1:12" x14ac:dyDescent="0.3">
      <c r="A180" t="s">
        <v>57</v>
      </c>
      <c r="B180">
        <v>19</v>
      </c>
      <c r="C180">
        <v>22</v>
      </c>
      <c r="D180" t="s">
        <v>35</v>
      </c>
      <c r="E180" t="s">
        <v>91</v>
      </c>
      <c r="F180">
        <v>16</v>
      </c>
      <c r="G180">
        <v>70</v>
      </c>
      <c r="H180" t="s">
        <v>30</v>
      </c>
      <c r="I180">
        <v>0</v>
      </c>
      <c r="J180" t="s">
        <v>2</v>
      </c>
      <c r="K180" s="1">
        <v>8.0578703703703704E-4</v>
      </c>
      <c r="L180">
        <f t="shared" si="2"/>
        <v>9</v>
      </c>
    </row>
    <row r="181" spans="1:12" x14ac:dyDescent="0.3">
      <c r="A181" t="s">
        <v>57</v>
      </c>
      <c r="B181" t="s">
        <v>47</v>
      </c>
      <c r="C181">
        <v>27</v>
      </c>
      <c r="D181" t="s">
        <v>38</v>
      </c>
      <c r="E181" t="s">
        <v>32</v>
      </c>
      <c r="F181">
        <v>8</v>
      </c>
      <c r="G181">
        <v>12</v>
      </c>
      <c r="H181" t="s">
        <v>48</v>
      </c>
      <c r="I181">
        <v>0</v>
      </c>
      <c r="J181" t="s">
        <v>2</v>
      </c>
      <c r="K181" s="1">
        <v>8.2252314814814818E-4</v>
      </c>
      <c r="L181">
        <f t="shared" si="2"/>
        <v>9</v>
      </c>
    </row>
    <row r="182" spans="1:12" x14ac:dyDescent="0.3">
      <c r="A182" t="s">
        <v>59</v>
      </c>
      <c r="B182">
        <v>1</v>
      </c>
      <c r="C182">
        <v>1</v>
      </c>
      <c r="D182" t="s">
        <v>12</v>
      </c>
      <c r="E182" t="s">
        <v>13</v>
      </c>
      <c r="F182">
        <v>1</v>
      </c>
      <c r="G182">
        <v>52</v>
      </c>
      <c r="H182" s="1">
        <v>5.9223819444444444E-2</v>
      </c>
      <c r="I182">
        <v>26</v>
      </c>
      <c r="J182" t="s">
        <v>14</v>
      </c>
      <c r="K182" s="1">
        <v>1.0448495370370371E-3</v>
      </c>
      <c r="L182">
        <f t="shared" si="2"/>
        <v>10</v>
      </c>
    </row>
    <row r="183" spans="1:12" x14ac:dyDescent="0.3">
      <c r="A183" t="s">
        <v>59</v>
      </c>
      <c r="B183">
        <v>2</v>
      </c>
      <c r="C183">
        <v>4</v>
      </c>
      <c r="D183" t="s">
        <v>21</v>
      </c>
      <c r="E183" t="s">
        <v>22</v>
      </c>
      <c r="F183">
        <v>2</v>
      </c>
      <c r="G183">
        <v>52</v>
      </c>
      <c r="H183">
        <v>3.798</v>
      </c>
      <c r="I183">
        <v>18</v>
      </c>
      <c r="J183" t="s">
        <v>2</v>
      </c>
      <c r="K183" s="1">
        <v>1.0479513888888891E-3</v>
      </c>
      <c r="L183">
        <f t="shared" si="2"/>
        <v>10</v>
      </c>
    </row>
    <row r="184" spans="1:12" x14ac:dyDescent="0.3">
      <c r="A184" t="s">
        <v>59</v>
      </c>
      <c r="B184">
        <v>3</v>
      </c>
      <c r="C184">
        <v>44</v>
      </c>
      <c r="D184" t="s">
        <v>23</v>
      </c>
      <c r="E184" t="s">
        <v>20</v>
      </c>
      <c r="F184">
        <v>7</v>
      </c>
      <c r="G184">
        <v>52</v>
      </c>
      <c r="H184">
        <v>6.7830000000000004</v>
      </c>
      <c r="I184">
        <v>15</v>
      </c>
      <c r="J184" t="s">
        <v>2</v>
      </c>
      <c r="K184" s="1">
        <v>1.0479745370370371E-3</v>
      </c>
      <c r="L184">
        <f t="shared" si="2"/>
        <v>10</v>
      </c>
    </row>
    <row r="185" spans="1:12" x14ac:dyDescent="0.3">
      <c r="A185" t="s">
        <v>59</v>
      </c>
      <c r="B185">
        <v>4</v>
      </c>
      <c r="C185">
        <v>81</v>
      </c>
      <c r="D185" t="s">
        <v>24</v>
      </c>
      <c r="E185" t="s">
        <v>22</v>
      </c>
      <c r="F185">
        <v>3</v>
      </c>
      <c r="G185">
        <v>52</v>
      </c>
      <c r="H185">
        <v>7.7759999999999998</v>
      </c>
      <c r="I185">
        <v>12</v>
      </c>
      <c r="J185" t="s">
        <v>2</v>
      </c>
      <c r="K185" s="1">
        <v>1.0515046296296297E-3</v>
      </c>
      <c r="L185">
        <f t="shared" si="2"/>
        <v>10</v>
      </c>
    </row>
    <row r="186" spans="1:12" x14ac:dyDescent="0.3">
      <c r="A186" t="s">
        <v>59</v>
      </c>
      <c r="B186">
        <v>5</v>
      </c>
      <c r="C186">
        <v>63</v>
      </c>
      <c r="D186" t="s">
        <v>19</v>
      </c>
      <c r="E186" t="s">
        <v>20</v>
      </c>
      <c r="F186">
        <v>6</v>
      </c>
      <c r="G186">
        <v>52</v>
      </c>
      <c r="H186">
        <v>11.206</v>
      </c>
      <c r="I186">
        <v>10</v>
      </c>
      <c r="J186" t="s">
        <v>2</v>
      </c>
      <c r="K186" s="1">
        <v>1.0546759259259259E-3</v>
      </c>
      <c r="L186">
        <f t="shared" si="2"/>
        <v>10</v>
      </c>
    </row>
    <row r="187" spans="1:12" x14ac:dyDescent="0.3">
      <c r="A187" t="s">
        <v>59</v>
      </c>
      <c r="B187">
        <v>6</v>
      </c>
      <c r="C187">
        <v>11</v>
      </c>
      <c r="D187" t="s">
        <v>15</v>
      </c>
      <c r="E187" t="s">
        <v>13</v>
      </c>
      <c r="F187">
        <v>15</v>
      </c>
      <c r="G187">
        <v>52</v>
      </c>
      <c r="H187">
        <v>12.882</v>
      </c>
      <c r="I187">
        <v>8</v>
      </c>
      <c r="J187" t="s">
        <v>2</v>
      </c>
      <c r="K187" s="1">
        <v>1.0522453703703705E-3</v>
      </c>
      <c r="L187">
        <f t="shared" si="2"/>
        <v>10</v>
      </c>
    </row>
    <row r="188" spans="1:12" x14ac:dyDescent="0.3">
      <c r="A188" t="s">
        <v>59</v>
      </c>
      <c r="B188">
        <v>7</v>
      </c>
      <c r="C188">
        <v>14</v>
      </c>
      <c r="D188" t="s">
        <v>25</v>
      </c>
      <c r="E188" t="s">
        <v>26</v>
      </c>
      <c r="F188">
        <v>9</v>
      </c>
      <c r="G188">
        <v>52</v>
      </c>
      <c r="H188">
        <v>17.193000000000001</v>
      </c>
      <c r="I188">
        <v>6</v>
      </c>
      <c r="J188" t="s">
        <v>2</v>
      </c>
      <c r="K188" s="1">
        <v>1.0571527777777777E-3</v>
      </c>
      <c r="L188">
        <f t="shared" si="2"/>
        <v>10</v>
      </c>
    </row>
    <row r="189" spans="1:12" x14ac:dyDescent="0.3">
      <c r="A189" t="s">
        <v>59</v>
      </c>
      <c r="B189">
        <v>8</v>
      </c>
      <c r="C189">
        <v>23</v>
      </c>
      <c r="D189" t="s">
        <v>36</v>
      </c>
      <c r="E189" t="s">
        <v>37</v>
      </c>
      <c r="F189">
        <v>8</v>
      </c>
      <c r="G189">
        <v>52</v>
      </c>
      <c r="H189">
        <v>17.878</v>
      </c>
      <c r="I189">
        <v>4</v>
      </c>
      <c r="J189" t="s">
        <v>2</v>
      </c>
      <c r="K189" s="1">
        <v>1.056400462962963E-3</v>
      </c>
      <c r="L189">
        <f t="shared" si="2"/>
        <v>10</v>
      </c>
    </row>
    <row r="190" spans="1:12" x14ac:dyDescent="0.3">
      <c r="A190" t="s">
        <v>59</v>
      </c>
      <c r="B190">
        <v>9</v>
      </c>
      <c r="C190">
        <v>16</v>
      </c>
      <c r="D190" t="s">
        <v>18</v>
      </c>
      <c r="E190" t="s">
        <v>17</v>
      </c>
      <c r="F190">
        <v>4</v>
      </c>
      <c r="G190">
        <v>52</v>
      </c>
      <c r="H190">
        <v>18.689</v>
      </c>
      <c r="I190">
        <v>2</v>
      </c>
      <c r="J190" t="s">
        <v>2</v>
      </c>
      <c r="K190" s="1">
        <v>1.0561921296296296E-3</v>
      </c>
      <c r="L190">
        <f t="shared" si="2"/>
        <v>10</v>
      </c>
    </row>
    <row r="191" spans="1:12" x14ac:dyDescent="0.3">
      <c r="A191" t="s">
        <v>59</v>
      </c>
      <c r="B191">
        <v>10</v>
      </c>
      <c r="C191">
        <v>55</v>
      </c>
      <c r="D191" t="s">
        <v>16</v>
      </c>
      <c r="E191" t="s">
        <v>17</v>
      </c>
      <c r="F191">
        <v>5</v>
      </c>
      <c r="G191">
        <v>52</v>
      </c>
      <c r="H191">
        <v>19.448</v>
      </c>
      <c r="I191">
        <v>1</v>
      </c>
      <c r="J191" t="s">
        <v>2</v>
      </c>
      <c r="K191" s="1">
        <v>1.0574768518518518E-3</v>
      </c>
      <c r="L191">
        <f t="shared" si="2"/>
        <v>10</v>
      </c>
    </row>
    <row r="192" spans="1:12" x14ac:dyDescent="0.3">
      <c r="A192" t="s">
        <v>59</v>
      </c>
      <c r="B192">
        <v>11</v>
      </c>
      <c r="C192">
        <v>2</v>
      </c>
      <c r="D192" t="s">
        <v>43</v>
      </c>
      <c r="E192" t="s">
        <v>37</v>
      </c>
      <c r="F192">
        <v>14</v>
      </c>
      <c r="G192">
        <v>52</v>
      </c>
      <c r="H192">
        <v>23.632000000000001</v>
      </c>
      <c r="I192">
        <v>0</v>
      </c>
      <c r="J192" t="s">
        <v>2</v>
      </c>
      <c r="K192" s="1">
        <v>1.0613310185185185E-3</v>
      </c>
      <c r="L192">
        <f t="shared" si="2"/>
        <v>10</v>
      </c>
    </row>
    <row r="193" spans="1:12" x14ac:dyDescent="0.3">
      <c r="A193" t="s">
        <v>59</v>
      </c>
      <c r="B193">
        <v>12</v>
      </c>
      <c r="C193">
        <v>77</v>
      </c>
      <c r="D193" t="s">
        <v>42</v>
      </c>
      <c r="E193" t="s">
        <v>90</v>
      </c>
      <c r="F193">
        <v>20</v>
      </c>
      <c r="G193">
        <v>52</v>
      </c>
      <c r="H193">
        <v>25.83</v>
      </c>
      <c r="I193">
        <v>0</v>
      </c>
      <c r="J193" t="s">
        <v>2</v>
      </c>
      <c r="K193" s="1">
        <v>1.063101851851852E-3</v>
      </c>
      <c r="L193">
        <f t="shared" si="2"/>
        <v>10</v>
      </c>
    </row>
    <row r="194" spans="1:12" x14ac:dyDescent="0.3">
      <c r="A194" t="s">
        <v>59</v>
      </c>
      <c r="B194">
        <v>13</v>
      </c>
      <c r="C194">
        <v>27</v>
      </c>
      <c r="D194" t="s">
        <v>38</v>
      </c>
      <c r="E194" t="s">
        <v>32</v>
      </c>
      <c r="F194">
        <v>11</v>
      </c>
      <c r="G194">
        <v>52</v>
      </c>
      <c r="H194">
        <v>26.663</v>
      </c>
      <c r="I194">
        <v>0</v>
      </c>
      <c r="J194" t="s">
        <v>2</v>
      </c>
      <c r="K194" s="1">
        <v>1.0622222222222222E-3</v>
      </c>
      <c r="L194">
        <f t="shared" si="2"/>
        <v>10</v>
      </c>
    </row>
    <row r="195" spans="1:12" x14ac:dyDescent="0.3">
      <c r="A195" t="s">
        <v>59</v>
      </c>
      <c r="B195">
        <v>14</v>
      </c>
      <c r="C195">
        <v>18</v>
      </c>
      <c r="D195" t="s">
        <v>27</v>
      </c>
      <c r="E195" t="s">
        <v>26</v>
      </c>
      <c r="F195">
        <v>12</v>
      </c>
      <c r="G195">
        <v>52</v>
      </c>
      <c r="H195">
        <v>27.483000000000001</v>
      </c>
      <c r="I195">
        <v>0</v>
      </c>
      <c r="J195" t="s">
        <v>2</v>
      </c>
      <c r="K195" s="1">
        <v>1.0591203703703704E-3</v>
      </c>
      <c r="L195">
        <f t="shared" si="2"/>
        <v>10</v>
      </c>
    </row>
    <row r="196" spans="1:12" x14ac:dyDescent="0.3">
      <c r="A196" t="s">
        <v>59</v>
      </c>
      <c r="B196">
        <v>15</v>
      </c>
      <c r="C196">
        <v>24</v>
      </c>
      <c r="D196" t="s">
        <v>28</v>
      </c>
      <c r="E196" t="s">
        <v>90</v>
      </c>
      <c r="F196">
        <v>17</v>
      </c>
      <c r="G196">
        <v>52</v>
      </c>
      <c r="H196">
        <v>29.82</v>
      </c>
      <c r="I196">
        <v>0</v>
      </c>
      <c r="J196" t="s">
        <v>2</v>
      </c>
      <c r="K196" s="1">
        <v>1.0621412037037038E-3</v>
      </c>
      <c r="L196">
        <f t="shared" si="2"/>
        <v>10</v>
      </c>
    </row>
    <row r="197" spans="1:12" x14ac:dyDescent="0.3">
      <c r="A197" t="s">
        <v>59</v>
      </c>
      <c r="B197">
        <v>16</v>
      </c>
      <c r="C197">
        <v>22</v>
      </c>
      <c r="D197" t="s">
        <v>35</v>
      </c>
      <c r="E197" t="s">
        <v>91</v>
      </c>
      <c r="F197">
        <v>16</v>
      </c>
      <c r="G197">
        <v>52</v>
      </c>
      <c r="H197">
        <v>31.225000000000001</v>
      </c>
      <c r="I197">
        <v>0</v>
      </c>
      <c r="J197" t="s">
        <v>2</v>
      </c>
      <c r="K197" s="1">
        <v>1.0657870370370372E-3</v>
      </c>
      <c r="L197">
        <f t="shared" si="2"/>
        <v>10</v>
      </c>
    </row>
    <row r="198" spans="1:12" x14ac:dyDescent="0.3">
      <c r="A198" t="s">
        <v>59</v>
      </c>
      <c r="B198">
        <v>17</v>
      </c>
      <c r="C198">
        <v>21</v>
      </c>
      <c r="D198" t="s">
        <v>92</v>
      </c>
      <c r="E198" t="s">
        <v>91</v>
      </c>
      <c r="F198">
        <v>18</v>
      </c>
      <c r="G198">
        <v>52</v>
      </c>
      <c r="H198">
        <v>33.128</v>
      </c>
      <c r="I198">
        <v>0</v>
      </c>
      <c r="J198" t="s">
        <v>2</v>
      </c>
      <c r="K198" s="1">
        <v>1.0689004629629631E-3</v>
      </c>
      <c r="L198">
        <f t="shared" si="2"/>
        <v>10</v>
      </c>
    </row>
    <row r="199" spans="1:12" x14ac:dyDescent="0.3">
      <c r="A199" t="s">
        <v>59</v>
      </c>
      <c r="B199">
        <v>18</v>
      </c>
      <c r="C199">
        <v>10</v>
      </c>
      <c r="D199" t="s">
        <v>41</v>
      </c>
      <c r="E199" t="s">
        <v>40</v>
      </c>
      <c r="F199">
        <v>10</v>
      </c>
      <c r="G199">
        <v>46</v>
      </c>
      <c r="H199" t="s">
        <v>48</v>
      </c>
      <c r="I199">
        <v>0</v>
      </c>
      <c r="J199" t="s">
        <v>2</v>
      </c>
      <c r="K199" s="1">
        <v>1.0594791666666667E-3</v>
      </c>
      <c r="L199">
        <f t="shared" si="2"/>
        <v>10</v>
      </c>
    </row>
    <row r="200" spans="1:12" x14ac:dyDescent="0.3">
      <c r="A200" t="s">
        <v>59</v>
      </c>
      <c r="B200" t="s">
        <v>47</v>
      </c>
      <c r="C200">
        <v>20</v>
      </c>
      <c r="D200" t="s">
        <v>31</v>
      </c>
      <c r="E200" t="s">
        <v>32</v>
      </c>
      <c r="F200">
        <v>19</v>
      </c>
      <c r="G200">
        <v>31</v>
      </c>
      <c r="H200" t="s">
        <v>48</v>
      </c>
      <c r="I200">
        <v>0</v>
      </c>
      <c r="J200" t="s">
        <v>2</v>
      </c>
      <c r="K200" s="1">
        <v>1.0805092592592591E-3</v>
      </c>
      <c r="L200">
        <f t="shared" si="2"/>
        <v>10</v>
      </c>
    </row>
    <row r="201" spans="1:12" x14ac:dyDescent="0.3">
      <c r="A201" t="s">
        <v>59</v>
      </c>
      <c r="B201" t="s">
        <v>47</v>
      </c>
      <c r="C201">
        <v>31</v>
      </c>
      <c r="D201" t="s">
        <v>39</v>
      </c>
      <c r="E201" t="s">
        <v>40</v>
      </c>
      <c r="F201">
        <v>13</v>
      </c>
      <c r="G201">
        <v>9</v>
      </c>
      <c r="H201" t="s">
        <v>48</v>
      </c>
      <c r="I201">
        <v>0</v>
      </c>
      <c r="J201" t="s">
        <v>2</v>
      </c>
      <c r="K201" s="1">
        <v>1.0872800925925926E-3</v>
      </c>
      <c r="L201">
        <f t="shared" si="2"/>
        <v>10</v>
      </c>
    </row>
    <row r="202" spans="1:12" x14ac:dyDescent="0.3">
      <c r="A202" t="s">
        <v>61</v>
      </c>
      <c r="B202">
        <v>1</v>
      </c>
      <c r="C202">
        <v>1</v>
      </c>
      <c r="D202" t="s">
        <v>12</v>
      </c>
      <c r="E202" t="s">
        <v>13</v>
      </c>
      <c r="F202">
        <v>2</v>
      </c>
      <c r="G202">
        <v>70</v>
      </c>
      <c r="H202" s="1">
        <v>6.8155486111111108E-2</v>
      </c>
      <c r="I202">
        <v>26</v>
      </c>
      <c r="J202" t="s">
        <v>14</v>
      </c>
      <c r="K202" s="1">
        <v>9.3175925925925935E-4</v>
      </c>
      <c r="L202">
        <f t="shared" si="2"/>
        <v>11</v>
      </c>
    </row>
    <row r="203" spans="1:12" x14ac:dyDescent="0.3">
      <c r="A203" t="s">
        <v>61</v>
      </c>
      <c r="B203">
        <v>2</v>
      </c>
      <c r="C203">
        <v>4</v>
      </c>
      <c r="D203" t="s">
        <v>21</v>
      </c>
      <c r="E203" t="s">
        <v>22</v>
      </c>
      <c r="F203">
        <v>3</v>
      </c>
      <c r="G203">
        <v>70</v>
      </c>
      <c r="H203">
        <v>33.731000000000002</v>
      </c>
      <c r="I203">
        <v>18</v>
      </c>
      <c r="J203" t="s">
        <v>2</v>
      </c>
      <c r="K203" s="1">
        <v>9.5113425925925921E-4</v>
      </c>
      <c r="L203">
        <f t="shared" si="2"/>
        <v>11</v>
      </c>
    </row>
    <row r="204" spans="1:12" x14ac:dyDescent="0.3">
      <c r="A204" t="s">
        <v>61</v>
      </c>
      <c r="B204">
        <v>3</v>
      </c>
      <c r="C204">
        <v>11</v>
      </c>
      <c r="D204" t="s">
        <v>15</v>
      </c>
      <c r="E204" t="s">
        <v>13</v>
      </c>
      <c r="F204">
        <v>9</v>
      </c>
      <c r="G204">
        <v>70</v>
      </c>
      <c r="H204">
        <v>37.603000000000002</v>
      </c>
      <c r="I204">
        <v>15</v>
      </c>
      <c r="J204" t="s">
        <v>2</v>
      </c>
      <c r="K204" s="1">
        <v>9.5248842592592596E-4</v>
      </c>
      <c r="L204">
        <f t="shared" si="2"/>
        <v>11</v>
      </c>
    </row>
    <row r="205" spans="1:12" x14ac:dyDescent="0.3">
      <c r="A205" t="s">
        <v>61</v>
      </c>
      <c r="B205">
        <v>4</v>
      </c>
      <c r="C205">
        <v>44</v>
      </c>
      <c r="D205" t="s">
        <v>23</v>
      </c>
      <c r="E205" t="s">
        <v>20</v>
      </c>
      <c r="F205">
        <v>1</v>
      </c>
      <c r="G205">
        <v>70</v>
      </c>
      <c r="H205">
        <v>39.134</v>
      </c>
      <c r="I205">
        <v>12</v>
      </c>
      <c r="J205" t="s">
        <v>2</v>
      </c>
      <c r="K205" s="1">
        <v>9.4445601851851852E-4</v>
      </c>
      <c r="L205">
        <f t="shared" si="2"/>
        <v>11</v>
      </c>
    </row>
    <row r="206" spans="1:12" x14ac:dyDescent="0.3">
      <c r="A206" t="s">
        <v>61</v>
      </c>
      <c r="B206">
        <v>5</v>
      </c>
      <c r="C206">
        <v>81</v>
      </c>
      <c r="D206" t="s">
        <v>24</v>
      </c>
      <c r="E206" t="s">
        <v>22</v>
      </c>
      <c r="F206">
        <v>4</v>
      </c>
      <c r="G206">
        <v>70</v>
      </c>
      <c r="H206">
        <v>62.572000000000003</v>
      </c>
      <c r="I206">
        <v>10</v>
      </c>
      <c r="J206" t="s">
        <v>2</v>
      </c>
      <c r="K206" s="1">
        <v>9.5759259259259267E-4</v>
      </c>
      <c r="L206">
        <f t="shared" si="2"/>
        <v>11</v>
      </c>
    </row>
    <row r="207" spans="1:12" x14ac:dyDescent="0.3">
      <c r="A207" t="s">
        <v>61</v>
      </c>
      <c r="B207">
        <v>6</v>
      </c>
      <c r="C207">
        <v>63</v>
      </c>
      <c r="D207" t="s">
        <v>19</v>
      </c>
      <c r="E207" t="s">
        <v>20</v>
      </c>
      <c r="F207">
        <v>18</v>
      </c>
      <c r="G207">
        <v>70</v>
      </c>
      <c r="H207">
        <v>65.825000000000003</v>
      </c>
      <c r="I207">
        <v>8</v>
      </c>
      <c r="J207" t="s">
        <v>2</v>
      </c>
      <c r="K207" s="1">
        <v>9.5090277777777784E-4</v>
      </c>
      <c r="L207">
        <f t="shared" si="2"/>
        <v>11</v>
      </c>
    </row>
    <row r="208" spans="1:12" x14ac:dyDescent="0.3">
      <c r="A208" t="s">
        <v>61</v>
      </c>
      <c r="B208">
        <v>7</v>
      </c>
      <c r="C208">
        <v>16</v>
      </c>
      <c r="D208" t="s">
        <v>18</v>
      </c>
      <c r="E208" t="s">
        <v>17</v>
      </c>
      <c r="F208">
        <v>6</v>
      </c>
      <c r="G208">
        <v>70</v>
      </c>
      <c r="H208">
        <v>70.316999999999993</v>
      </c>
      <c r="I208">
        <v>6</v>
      </c>
      <c r="J208" t="s">
        <v>2</v>
      </c>
      <c r="K208" s="1">
        <v>9.5450231481481471E-4</v>
      </c>
      <c r="L208">
        <f t="shared" si="2"/>
        <v>11</v>
      </c>
    </row>
    <row r="209" spans="1:12" x14ac:dyDescent="0.3">
      <c r="A209" t="s">
        <v>61</v>
      </c>
      <c r="B209">
        <v>8</v>
      </c>
      <c r="C209">
        <v>55</v>
      </c>
      <c r="D209" t="s">
        <v>16</v>
      </c>
      <c r="E209" t="s">
        <v>17</v>
      </c>
      <c r="F209">
        <v>11</v>
      </c>
      <c r="G209">
        <v>70</v>
      </c>
      <c r="H209">
        <v>71.072999999999993</v>
      </c>
      <c r="I209">
        <v>4</v>
      </c>
      <c r="J209" t="s">
        <v>2</v>
      </c>
      <c r="K209" s="1">
        <v>9.5583333333333338E-4</v>
      </c>
      <c r="L209">
        <f t="shared" si="2"/>
        <v>11</v>
      </c>
    </row>
    <row r="210" spans="1:12" x14ac:dyDescent="0.3">
      <c r="A210" t="s">
        <v>61</v>
      </c>
      <c r="B210">
        <v>9</v>
      </c>
      <c r="C210">
        <v>14</v>
      </c>
      <c r="D210" t="s">
        <v>25</v>
      </c>
      <c r="E210" t="s">
        <v>26</v>
      </c>
      <c r="F210">
        <v>8</v>
      </c>
      <c r="G210">
        <v>70</v>
      </c>
      <c r="H210">
        <v>75.709000000000003</v>
      </c>
      <c r="I210">
        <v>2</v>
      </c>
      <c r="J210" t="s">
        <v>2</v>
      </c>
      <c r="K210" s="1">
        <v>9.5769675925925926E-4</v>
      </c>
      <c r="L210">
        <f t="shared" si="2"/>
        <v>11</v>
      </c>
    </row>
    <row r="211" spans="1:12" x14ac:dyDescent="0.3">
      <c r="A211" t="s">
        <v>61</v>
      </c>
      <c r="B211">
        <v>10</v>
      </c>
      <c r="C211">
        <v>18</v>
      </c>
      <c r="D211" t="s">
        <v>27</v>
      </c>
      <c r="E211" t="s">
        <v>26</v>
      </c>
      <c r="F211">
        <v>14</v>
      </c>
      <c r="G211">
        <v>69</v>
      </c>
      <c r="H211" t="s">
        <v>30</v>
      </c>
      <c r="I211">
        <v>1</v>
      </c>
      <c r="J211" t="s">
        <v>2</v>
      </c>
      <c r="K211" s="1">
        <v>9.6556712962962959E-4</v>
      </c>
      <c r="L211">
        <f t="shared" si="2"/>
        <v>11</v>
      </c>
    </row>
    <row r="212" spans="1:12" x14ac:dyDescent="0.3">
      <c r="A212" t="s">
        <v>61</v>
      </c>
      <c r="B212">
        <v>11</v>
      </c>
      <c r="C212">
        <v>23</v>
      </c>
      <c r="D212" t="s">
        <v>36</v>
      </c>
      <c r="E212" t="s">
        <v>37</v>
      </c>
      <c r="F212">
        <v>16</v>
      </c>
      <c r="G212">
        <v>69</v>
      </c>
      <c r="H212" t="s">
        <v>30</v>
      </c>
      <c r="I212">
        <v>0</v>
      </c>
      <c r="J212" t="s">
        <v>2</v>
      </c>
      <c r="K212" s="1">
        <v>9.7281250000000004E-4</v>
      </c>
      <c r="L212">
        <f t="shared" si="2"/>
        <v>11</v>
      </c>
    </row>
    <row r="213" spans="1:12" x14ac:dyDescent="0.3">
      <c r="A213" t="s">
        <v>61</v>
      </c>
      <c r="B213">
        <v>12</v>
      </c>
      <c r="C213">
        <v>77</v>
      </c>
      <c r="D213" t="s">
        <v>42</v>
      </c>
      <c r="E213" t="s">
        <v>90</v>
      </c>
      <c r="F213">
        <v>7</v>
      </c>
      <c r="G213">
        <v>69</v>
      </c>
      <c r="H213" t="s">
        <v>30</v>
      </c>
      <c r="I213">
        <v>0</v>
      </c>
      <c r="J213" t="s">
        <v>2</v>
      </c>
      <c r="K213" s="1">
        <v>9.6818287037037033E-4</v>
      </c>
      <c r="L213">
        <f t="shared" si="2"/>
        <v>11</v>
      </c>
    </row>
    <row r="214" spans="1:12" x14ac:dyDescent="0.3">
      <c r="A214" t="s">
        <v>61</v>
      </c>
      <c r="B214">
        <v>13</v>
      </c>
      <c r="C214">
        <v>3</v>
      </c>
      <c r="D214" t="s">
        <v>33</v>
      </c>
      <c r="E214" t="s">
        <v>91</v>
      </c>
      <c r="F214">
        <v>13</v>
      </c>
      <c r="G214">
        <v>69</v>
      </c>
      <c r="H214" t="s">
        <v>30</v>
      </c>
      <c r="I214">
        <v>0</v>
      </c>
      <c r="J214" t="s">
        <v>2</v>
      </c>
      <c r="K214" s="1">
        <v>9.7145833333333329E-4</v>
      </c>
      <c r="L214">
        <f t="shared" si="2"/>
        <v>11</v>
      </c>
    </row>
    <row r="215" spans="1:12" x14ac:dyDescent="0.3">
      <c r="A215" t="s">
        <v>61</v>
      </c>
      <c r="B215">
        <v>14</v>
      </c>
      <c r="C215">
        <v>27</v>
      </c>
      <c r="D215" t="s">
        <v>38</v>
      </c>
      <c r="E215" t="s">
        <v>32</v>
      </c>
      <c r="F215">
        <v>10</v>
      </c>
      <c r="G215">
        <v>69</v>
      </c>
      <c r="H215" t="s">
        <v>30</v>
      </c>
      <c r="I215">
        <v>0</v>
      </c>
      <c r="J215" t="s">
        <v>2</v>
      </c>
      <c r="K215" s="1">
        <v>9.6728009259259271E-4</v>
      </c>
      <c r="L215">
        <f t="shared" ref="L215:L278" si="3">L195+1</f>
        <v>11</v>
      </c>
    </row>
    <row r="216" spans="1:12" x14ac:dyDescent="0.3">
      <c r="A216" t="s">
        <v>61</v>
      </c>
      <c r="B216">
        <v>15</v>
      </c>
      <c r="C216">
        <v>22</v>
      </c>
      <c r="D216" t="s">
        <v>35</v>
      </c>
      <c r="E216" t="s">
        <v>91</v>
      </c>
      <c r="F216">
        <v>17</v>
      </c>
      <c r="G216">
        <v>69</v>
      </c>
      <c r="H216" t="s">
        <v>30</v>
      </c>
      <c r="I216">
        <v>0</v>
      </c>
      <c r="J216" t="s">
        <v>2</v>
      </c>
      <c r="K216" s="1">
        <v>9.6376157407407413E-4</v>
      </c>
      <c r="L216">
        <f t="shared" si="3"/>
        <v>11</v>
      </c>
    </row>
    <row r="217" spans="1:12" x14ac:dyDescent="0.3">
      <c r="A217" t="s">
        <v>61</v>
      </c>
      <c r="B217">
        <v>16</v>
      </c>
      <c r="C217">
        <v>24</v>
      </c>
      <c r="D217" t="s">
        <v>28</v>
      </c>
      <c r="E217" t="s">
        <v>90</v>
      </c>
      <c r="F217">
        <v>5</v>
      </c>
      <c r="G217">
        <v>69</v>
      </c>
      <c r="H217" t="s">
        <v>30</v>
      </c>
      <c r="I217">
        <v>0</v>
      </c>
      <c r="J217" t="s">
        <v>2</v>
      </c>
      <c r="K217" s="1">
        <v>9.6924768518518508E-4</v>
      </c>
      <c r="L217">
        <f t="shared" si="3"/>
        <v>11</v>
      </c>
    </row>
    <row r="218" spans="1:12" x14ac:dyDescent="0.3">
      <c r="A218" t="s">
        <v>61</v>
      </c>
      <c r="B218">
        <v>17</v>
      </c>
      <c r="C218">
        <v>20</v>
      </c>
      <c r="D218" t="s">
        <v>31</v>
      </c>
      <c r="E218" t="s">
        <v>32</v>
      </c>
      <c r="F218">
        <v>19</v>
      </c>
      <c r="G218">
        <v>69</v>
      </c>
      <c r="H218" t="s">
        <v>30</v>
      </c>
      <c r="I218">
        <v>0</v>
      </c>
      <c r="J218" t="s">
        <v>2</v>
      </c>
      <c r="K218" s="1">
        <v>9.7064814814814822E-4</v>
      </c>
      <c r="L218">
        <f t="shared" si="3"/>
        <v>11</v>
      </c>
    </row>
    <row r="219" spans="1:12" x14ac:dyDescent="0.3">
      <c r="A219" t="s">
        <v>61</v>
      </c>
      <c r="B219">
        <v>18</v>
      </c>
      <c r="C219">
        <v>2</v>
      </c>
      <c r="D219" t="s">
        <v>43</v>
      </c>
      <c r="E219" t="s">
        <v>37</v>
      </c>
      <c r="F219">
        <v>20</v>
      </c>
      <c r="G219">
        <v>67</v>
      </c>
      <c r="H219" t="s">
        <v>48</v>
      </c>
      <c r="I219">
        <v>0</v>
      </c>
      <c r="J219" t="s">
        <v>2</v>
      </c>
      <c r="K219" s="1">
        <v>9.6638888888888881E-4</v>
      </c>
      <c r="L219">
        <f t="shared" si="3"/>
        <v>11</v>
      </c>
    </row>
    <row r="220" spans="1:12" x14ac:dyDescent="0.3">
      <c r="A220" t="s">
        <v>61</v>
      </c>
      <c r="B220" t="s">
        <v>47</v>
      </c>
      <c r="C220">
        <v>31</v>
      </c>
      <c r="D220" t="s">
        <v>39</v>
      </c>
      <c r="E220" t="s">
        <v>40</v>
      </c>
      <c r="F220">
        <v>12</v>
      </c>
      <c r="G220">
        <v>2</v>
      </c>
      <c r="H220" t="s">
        <v>48</v>
      </c>
      <c r="I220">
        <v>0</v>
      </c>
      <c r="J220" t="s">
        <v>2</v>
      </c>
      <c r="L220">
        <f t="shared" si="3"/>
        <v>11</v>
      </c>
    </row>
    <row r="221" spans="1:12" x14ac:dyDescent="0.3">
      <c r="A221" t="s">
        <v>61</v>
      </c>
      <c r="B221" t="s">
        <v>47</v>
      </c>
      <c r="C221">
        <v>10</v>
      </c>
      <c r="D221" t="s">
        <v>41</v>
      </c>
      <c r="E221" t="s">
        <v>40</v>
      </c>
      <c r="F221">
        <v>15</v>
      </c>
      <c r="G221">
        <v>1</v>
      </c>
      <c r="H221" t="s">
        <v>48</v>
      </c>
      <c r="I221">
        <v>0</v>
      </c>
      <c r="J221" t="s">
        <v>2</v>
      </c>
      <c r="L221">
        <f t="shared" si="3"/>
        <v>11</v>
      </c>
    </row>
    <row r="222" spans="1:12" x14ac:dyDescent="0.3">
      <c r="A222" t="s">
        <v>62</v>
      </c>
      <c r="B222">
        <v>1</v>
      </c>
      <c r="C222">
        <v>1</v>
      </c>
      <c r="D222" t="s">
        <v>12</v>
      </c>
      <c r="E222" t="s">
        <v>13</v>
      </c>
      <c r="F222">
        <v>6</v>
      </c>
      <c r="G222">
        <v>44</v>
      </c>
      <c r="H222" s="1">
        <v>5.7296874999999997E-2</v>
      </c>
      <c r="I222">
        <v>25</v>
      </c>
      <c r="J222" t="s">
        <v>2</v>
      </c>
      <c r="K222" s="1">
        <v>1.2606712962962962E-3</v>
      </c>
      <c r="L222">
        <f t="shared" si="3"/>
        <v>12</v>
      </c>
    </row>
    <row r="223" spans="1:12" x14ac:dyDescent="0.3">
      <c r="A223" t="s">
        <v>62</v>
      </c>
      <c r="B223">
        <v>2</v>
      </c>
      <c r="C223">
        <v>11</v>
      </c>
      <c r="D223" t="s">
        <v>15</v>
      </c>
      <c r="E223" t="s">
        <v>13</v>
      </c>
      <c r="F223">
        <v>2</v>
      </c>
      <c r="G223">
        <v>44</v>
      </c>
      <c r="H223">
        <v>22.305</v>
      </c>
      <c r="I223">
        <v>18</v>
      </c>
      <c r="J223" t="s">
        <v>2</v>
      </c>
      <c r="K223" s="1">
        <v>1.2767129629629628E-3</v>
      </c>
      <c r="L223">
        <f t="shared" si="3"/>
        <v>12</v>
      </c>
    </row>
    <row r="224" spans="1:12" x14ac:dyDescent="0.3">
      <c r="A224" t="s">
        <v>62</v>
      </c>
      <c r="B224">
        <v>3</v>
      </c>
      <c r="C224">
        <v>16</v>
      </c>
      <c r="D224" t="s">
        <v>18</v>
      </c>
      <c r="E224" t="s">
        <v>17</v>
      </c>
      <c r="F224">
        <v>1</v>
      </c>
      <c r="G224">
        <v>44</v>
      </c>
      <c r="H224">
        <v>32.259</v>
      </c>
      <c r="I224">
        <v>15</v>
      </c>
      <c r="J224" t="s">
        <v>2</v>
      </c>
      <c r="K224" s="1">
        <v>1.2781944444444444E-3</v>
      </c>
      <c r="L224">
        <f t="shared" si="3"/>
        <v>12</v>
      </c>
    </row>
    <row r="225" spans="1:12" x14ac:dyDescent="0.3">
      <c r="A225" t="s">
        <v>62</v>
      </c>
      <c r="B225">
        <v>4</v>
      </c>
      <c r="C225">
        <v>44</v>
      </c>
      <c r="D225" t="s">
        <v>23</v>
      </c>
      <c r="E225" t="s">
        <v>20</v>
      </c>
      <c r="F225">
        <v>3</v>
      </c>
      <c r="G225">
        <v>44</v>
      </c>
      <c r="H225">
        <v>49.670999999999999</v>
      </c>
      <c r="I225">
        <v>13</v>
      </c>
      <c r="J225" t="s">
        <v>14</v>
      </c>
      <c r="K225" s="1">
        <v>1.2419560185185185E-3</v>
      </c>
      <c r="L225">
        <f t="shared" si="3"/>
        <v>12</v>
      </c>
    </row>
    <row r="226" spans="1:12" x14ac:dyDescent="0.3">
      <c r="A226" t="s">
        <v>62</v>
      </c>
      <c r="B226">
        <v>5</v>
      </c>
      <c r="C226">
        <v>14</v>
      </c>
      <c r="D226" t="s">
        <v>25</v>
      </c>
      <c r="E226" t="s">
        <v>26</v>
      </c>
      <c r="F226">
        <v>9</v>
      </c>
      <c r="G226">
        <v>44</v>
      </c>
      <c r="H226">
        <v>56.183999999999997</v>
      </c>
      <c r="I226">
        <v>10</v>
      </c>
      <c r="J226" t="s">
        <v>2</v>
      </c>
      <c r="K226" s="1">
        <v>1.2840046296296297E-3</v>
      </c>
      <c r="L226">
        <f t="shared" si="3"/>
        <v>12</v>
      </c>
    </row>
    <row r="227" spans="1:12" x14ac:dyDescent="0.3">
      <c r="A227" t="s">
        <v>62</v>
      </c>
      <c r="B227">
        <v>6</v>
      </c>
      <c r="C227">
        <v>63</v>
      </c>
      <c r="D227" t="s">
        <v>19</v>
      </c>
      <c r="E227" t="s">
        <v>20</v>
      </c>
      <c r="F227">
        <v>8</v>
      </c>
      <c r="G227">
        <v>44</v>
      </c>
      <c r="H227">
        <v>63.100999999999999</v>
      </c>
      <c r="I227">
        <v>8</v>
      </c>
      <c r="J227" t="s">
        <v>2</v>
      </c>
      <c r="K227" s="1">
        <v>1.2801273148148149E-3</v>
      </c>
      <c r="L227">
        <f t="shared" si="3"/>
        <v>12</v>
      </c>
    </row>
    <row r="228" spans="1:12" x14ac:dyDescent="0.3">
      <c r="A228" t="s">
        <v>62</v>
      </c>
      <c r="B228">
        <v>7</v>
      </c>
      <c r="C228">
        <v>4</v>
      </c>
      <c r="D228" t="s">
        <v>21</v>
      </c>
      <c r="E228" t="s">
        <v>22</v>
      </c>
      <c r="F228">
        <v>7</v>
      </c>
      <c r="G228">
        <v>44</v>
      </c>
      <c r="H228">
        <v>73.718999999999994</v>
      </c>
      <c r="I228">
        <v>6</v>
      </c>
      <c r="J228" t="s">
        <v>2</v>
      </c>
      <c r="K228" s="1">
        <v>1.2926157407407407E-3</v>
      </c>
      <c r="L228">
        <f t="shared" si="3"/>
        <v>12</v>
      </c>
    </row>
    <row r="229" spans="1:12" x14ac:dyDescent="0.3">
      <c r="A229" t="s">
        <v>62</v>
      </c>
      <c r="B229">
        <v>8</v>
      </c>
      <c r="C229">
        <v>31</v>
      </c>
      <c r="D229" t="s">
        <v>39</v>
      </c>
      <c r="E229" t="s">
        <v>40</v>
      </c>
      <c r="F229">
        <v>14</v>
      </c>
      <c r="G229">
        <v>44</v>
      </c>
      <c r="H229">
        <v>74.718999999999994</v>
      </c>
      <c r="I229">
        <v>4</v>
      </c>
      <c r="J229" t="s">
        <v>2</v>
      </c>
      <c r="K229" s="1">
        <v>1.2782291666666667E-3</v>
      </c>
      <c r="L229">
        <f t="shared" si="3"/>
        <v>12</v>
      </c>
    </row>
    <row r="230" spans="1:12" x14ac:dyDescent="0.3">
      <c r="A230" t="s">
        <v>62</v>
      </c>
      <c r="B230">
        <v>9</v>
      </c>
      <c r="C230">
        <v>18</v>
      </c>
      <c r="D230" t="s">
        <v>27</v>
      </c>
      <c r="E230" t="s">
        <v>26</v>
      </c>
      <c r="F230">
        <v>10</v>
      </c>
      <c r="G230">
        <v>44</v>
      </c>
      <c r="H230">
        <v>79.34</v>
      </c>
      <c r="I230">
        <v>2</v>
      </c>
      <c r="J230" t="s">
        <v>2</v>
      </c>
      <c r="K230" s="1">
        <v>1.2881597222222222E-3</v>
      </c>
      <c r="L230">
        <f t="shared" si="3"/>
        <v>12</v>
      </c>
    </row>
    <row r="231" spans="1:12" x14ac:dyDescent="0.3">
      <c r="A231" t="s">
        <v>62</v>
      </c>
      <c r="B231">
        <v>10</v>
      </c>
      <c r="C231">
        <v>22</v>
      </c>
      <c r="D231" t="s">
        <v>35</v>
      </c>
      <c r="E231" t="s">
        <v>91</v>
      </c>
      <c r="F231">
        <v>11</v>
      </c>
      <c r="G231">
        <v>44</v>
      </c>
      <c r="H231">
        <v>80.221000000000004</v>
      </c>
      <c r="I231">
        <v>1</v>
      </c>
      <c r="J231" t="s">
        <v>2</v>
      </c>
      <c r="K231" s="1">
        <v>1.2892824074074074E-3</v>
      </c>
      <c r="L231">
        <f t="shared" si="3"/>
        <v>12</v>
      </c>
    </row>
    <row r="232" spans="1:12" x14ac:dyDescent="0.3">
      <c r="A232" t="s">
        <v>62</v>
      </c>
      <c r="B232">
        <v>11</v>
      </c>
      <c r="C232">
        <v>10</v>
      </c>
      <c r="D232" t="s">
        <v>41</v>
      </c>
      <c r="E232" t="s">
        <v>40</v>
      </c>
      <c r="F232">
        <v>12</v>
      </c>
      <c r="G232">
        <v>44</v>
      </c>
      <c r="H232">
        <v>83.084000000000003</v>
      </c>
      <c r="I232">
        <v>0</v>
      </c>
      <c r="J232" t="s">
        <v>2</v>
      </c>
      <c r="K232" s="1">
        <v>1.2836921296296296E-3</v>
      </c>
      <c r="L232">
        <f t="shared" si="3"/>
        <v>12</v>
      </c>
    </row>
    <row r="233" spans="1:12" x14ac:dyDescent="0.3">
      <c r="A233" t="s">
        <v>62</v>
      </c>
      <c r="B233">
        <v>12</v>
      </c>
      <c r="C233">
        <v>77</v>
      </c>
      <c r="D233" t="s">
        <v>42</v>
      </c>
      <c r="E233" t="s">
        <v>90</v>
      </c>
      <c r="F233">
        <v>13</v>
      </c>
      <c r="G233">
        <v>44</v>
      </c>
      <c r="H233">
        <v>85.191000000000003</v>
      </c>
      <c r="I233">
        <v>0</v>
      </c>
      <c r="J233" t="s">
        <v>2</v>
      </c>
      <c r="K233" s="1">
        <v>1.2791087962962962E-3</v>
      </c>
      <c r="L233">
        <f t="shared" si="3"/>
        <v>12</v>
      </c>
    </row>
    <row r="234" spans="1:12" x14ac:dyDescent="0.3">
      <c r="A234" t="s">
        <v>62</v>
      </c>
      <c r="B234">
        <v>13</v>
      </c>
      <c r="C234">
        <v>24</v>
      </c>
      <c r="D234" t="s">
        <v>28</v>
      </c>
      <c r="E234" t="s">
        <v>90</v>
      </c>
      <c r="F234">
        <v>17</v>
      </c>
      <c r="G234">
        <v>44</v>
      </c>
      <c r="H234">
        <v>95.441000000000003</v>
      </c>
      <c r="I234">
        <v>0</v>
      </c>
      <c r="J234" t="s">
        <v>2</v>
      </c>
      <c r="K234" s="1">
        <v>1.2753240740740741E-3</v>
      </c>
      <c r="L234">
        <f t="shared" si="3"/>
        <v>12</v>
      </c>
    </row>
    <row r="235" spans="1:12" x14ac:dyDescent="0.3">
      <c r="A235" t="s">
        <v>62</v>
      </c>
      <c r="B235">
        <v>14</v>
      </c>
      <c r="C235">
        <v>23</v>
      </c>
      <c r="D235" t="s">
        <v>36</v>
      </c>
      <c r="E235" t="s">
        <v>37</v>
      </c>
      <c r="F235">
        <v>15</v>
      </c>
      <c r="G235">
        <v>44</v>
      </c>
      <c r="H235">
        <v>96.183999999999997</v>
      </c>
      <c r="I235">
        <v>0</v>
      </c>
      <c r="J235" t="s">
        <v>2</v>
      </c>
      <c r="K235" s="1">
        <v>1.2713078703703706E-3</v>
      </c>
      <c r="L235">
        <f t="shared" si="3"/>
        <v>12</v>
      </c>
    </row>
    <row r="236" spans="1:12" x14ac:dyDescent="0.3">
      <c r="A236" t="s">
        <v>62</v>
      </c>
      <c r="B236">
        <v>15</v>
      </c>
      <c r="C236">
        <v>20</v>
      </c>
      <c r="D236" t="s">
        <v>31</v>
      </c>
      <c r="E236" t="s">
        <v>32</v>
      </c>
      <c r="F236">
        <v>16</v>
      </c>
      <c r="G236">
        <v>44</v>
      </c>
      <c r="H236">
        <v>101.754</v>
      </c>
      <c r="I236">
        <v>0</v>
      </c>
      <c r="J236" t="s">
        <v>2</v>
      </c>
      <c r="K236" s="1">
        <v>1.2846412037037036E-3</v>
      </c>
      <c r="L236">
        <f t="shared" si="3"/>
        <v>12</v>
      </c>
    </row>
    <row r="237" spans="1:12" x14ac:dyDescent="0.3">
      <c r="A237" t="s">
        <v>62</v>
      </c>
      <c r="B237">
        <v>16</v>
      </c>
      <c r="C237">
        <v>3</v>
      </c>
      <c r="D237" t="s">
        <v>33</v>
      </c>
      <c r="E237" t="s">
        <v>91</v>
      </c>
      <c r="F237">
        <v>19</v>
      </c>
      <c r="G237">
        <v>44</v>
      </c>
      <c r="H237">
        <v>103.071</v>
      </c>
      <c r="I237">
        <v>0</v>
      </c>
      <c r="J237" t="s">
        <v>2</v>
      </c>
      <c r="K237" s="1">
        <v>1.2846527777777778E-3</v>
      </c>
      <c r="L237">
        <f t="shared" si="3"/>
        <v>12</v>
      </c>
    </row>
    <row r="238" spans="1:12" x14ac:dyDescent="0.3">
      <c r="A238" t="s">
        <v>62</v>
      </c>
      <c r="B238">
        <v>17</v>
      </c>
      <c r="C238">
        <v>2</v>
      </c>
      <c r="D238" t="s">
        <v>43</v>
      </c>
      <c r="E238" t="s">
        <v>37</v>
      </c>
      <c r="F238">
        <v>18</v>
      </c>
      <c r="G238">
        <v>44</v>
      </c>
      <c r="H238">
        <v>104.476</v>
      </c>
      <c r="I238">
        <v>0</v>
      </c>
      <c r="J238" t="s">
        <v>2</v>
      </c>
      <c r="K238" s="1">
        <v>1.278773148148148E-3</v>
      </c>
      <c r="L238">
        <f t="shared" si="3"/>
        <v>12</v>
      </c>
    </row>
    <row r="239" spans="1:12" x14ac:dyDescent="0.3">
      <c r="A239" t="s">
        <v>62</v>
      </c>
      <c r="B239">
        <v>18</v>
      </c>
      <c r="C239">
        <v>27</v>
      </c>
      <c r="D239" t="s">
        <v>38</v>
      </c>
      <c r="E239" t="s">
        <v>32</v>
      </c>
      <c r="F239">
        <v>20</v>
      </c>
      <c r="G239">
        <v>44</v>
      </c>
      <c r="H239">
        <v>110.45</v>
      </c>
      <c r="I239">
        <v>0</v>
      </c>
      <c r="J239" t="s">
        <v>2</v>
      </c>
      <c r="K239" s="1">
        <v>1.2720717592592592E-3</v>
      </c>
      <c r="L239">
        <f t="shared" si="3"/>
        <v>12</v>
      </c>
    </row>
    <row r="240" spans="1:12" x14ac:dyDescent="0.3">
      <c r="A240" t="s">
        <v>62</v>
      </c>
      <c r="B240" t="s">
        <v>47</v>
      </c>
      <c r="C240">
        <v>55</v>
      </c>
      <c r="D240" t="s">
        <v>16</v>
      </c>
      <c r="E240" t="s">
        <v>17</v>
      </c>
      <c r="F240">
        <v>4</v>
      </c>
      <c r="G240">
        <v>23</v>
      </c>
      <c r="H240" t="s">
        <v>48</v>
      </c>
      <c r="I240">
        <v>0</v>
      </c>
      <c r="J240" t="s">
        <v>2</v>
      </c>
      <c r="K240" s="1">
        <v>1.3094675925925928E-3</v>
      </c>
      <c r="L240">
        <f t="shared" si="3"/>
        <v>12</v>
      </c>
    </row>
    <row r="241" spans="1:12" x14ac:dyDescent="0.3">
      <c r="A241" t="s">
        <v>62</v>
      </c>
      <c r="B241" t="s">
        <v>47</v>
      </c>
      <c r="C241">
        <v>81</v>
      </c>
      <c r="D241" t="s">
        <v>24</v>
      </c>
      <c r="E241" t="s">
        <v>22</v>
      </c>
      <c r="F241">
        <v>5</v>
      </c>
      <c r="G241">
        <v>0</v>
      </c>
      <c r="H241" t="s">
        <v>48</v>
      </c>
      <c r="I241">
        <v>0</v>
      </c>
      <c r="J241" t="s">
        <v>2</v>
      </c>
      <c r="L241">
        <f t="shared" si="3"/>
        <v>12</v>
      </c>
    </row>
    <row r="242" spans="1:12" x14ac:dyDescent="0.3">
      <c r="A242" t="s">
        <v>64</v>
      </c>
      <c r="B242">
        <v>1</v>
      </c>
      <c r="C242">
        <v>1</v>
      </c>
      <c r="D242" t="s">
        <v>12</v>
      </c>
      <c r="E242" t="s">
        <v>13</v>
      </c>
      <c r="F242">
        <v>1</v>
      </c>
      <c r="G242">
        <v>72</v>
      </c>
      <c r="H242" s="1">
        <v>0.10005105324074075</v>
      </c>
      <c r="I242">
        <v>25</v>
      </c>
      <c r="J242" t="s">
        <v>2</v>
      </c>
      <c r="K242" s="1">
        <v>8.5519675925925921E-4</v>
      </c>
      <c r="L242">
        <f t="shared" si="3"/>
        <v>13</v>
      </c>
    </row>
    <row r="243" spans="1:12" x14ac:dyDescent="0.3">
      <c r="A243" t="s">
        <v>64</v>
      </c>
      <c r="B243">
        <v>2</v>
      </c>
      <c r="C243">
        <v>14</v>
      </c>
      <c r="D243" t="s">
        <v>25</v>
      </c>
      <c r="E243" t="s">
        <v>26</v>
      </c>
      <c r="F243">
        <v>5</v>
      </c>
      <c r="G243">
        <v>72</v>
      </c>
      <c r="H243">
        <v>3.7440000000000002</v>
      </c>
      <c r="I243">
        <v>19</v>
      </c>
      <c r="J243" t="s">
        <v>14</v>
      </c>
      <c r="K243" s="1">
        <v>8.5459490740740743E-4</v>
      </c>
      <c r="L243">
        <f t="shared" si="3"/>
        <v>13</v>
      </c>
    </row>
    <row r="244" spans="1:12" x14ac:dyDescent="0.3">
      <c r="A244" t="s">
        <v>64</v>
      </c>
      <c r="B244">
        <v>3</v>
      </c>
      <c r="C244">
        <v>10</v>
      </c>
      <c r="D244" t="s">
        <v>41</v>
      </c>
      <c r="E244" t="s">
        <v>40</v>
      </c>
      <c r="F244">
        <v>12</v>
      </c>
      <c r="G244">
        <v>72</v>
      </c>
      <c r="H244">
        <v>7.0579999999999998</v>
      </c>
      <c r="I244">
        <v>15</v>
      </c>
      <c r="J244" t="s">
        <v>2</v>
      </c>
      <c r="K244" s="1">
        <v>8.6158564814814822E-4</v>
      </c>
      <c r="L244">
        <f t="shared" si="3"/>
        <v>13</v>
      </c>
    </row>
    <row r="245" spans="1:12" x14ac:dyDescent="0.3">
      <c r="A245" t="s">
        <v>64</v>
      </c>
      <c r="B245">
        <v>4</v>
      </c>
      <c r="C245">
        <v>11</v>
      </c>
      <c r="D245" t="s">
        <v>15</v>
      </c>
      <c r="E245" t="s">
        <v>13</v>
      </c>
      <c r="F245">
        <v>7</v>
      </c>
      <c r="G245">
        <v>72</v>
      </c>
      <c r="H245">
        <v>10.068</v>
      </c>
      <c r="I245">
        <v>12</v>
      </c>
      <c r="J245" t="s">
        <v>2</v>
      </c>
      <c r="K245" s="1">
        <v>8.5915509259259257E-4</v>
      </c>
      <c r="L245">
        <f t="shared" si="3"/>
        <v>13</v>
      </c>
    </row>
    <row r="246" spans="1:12" x14ac:dyDescent="0.3">
      <c r="A246" t="s">
        <v>64</v>
      </c>
      <c r="B246">
        <v>5</v>
      </c>
      <c r="C246">
        <v>55</v>
      </c>
      <c r="D246" t="s">
        <v>16</v>
      </c>
      <c r="E246" t="s">
        <v>17</v>
      </c>
      <c r="F246">
        <v>6</v>
      </c>
      <c r="G246">
        <v>72</v>
      </c>
      <c r="H246">
        <v>12.541</v>
      </c>
      <c r="I246">
        <v>10</v>
      </c>
      <c r="J246" t="s">
        <v>2</v>
      </c>
      <c r="K246" s="1">
        <v>8.672916666666666E-4</v>
      </c>
      <c r="L246">
        <f t="shared" si="3"/>
        <v>13</v>
      </c>
    </row>
    <row r="247" spans="1:12" x14ac:dyDescent="0.3">
      <c r="A247" t="s">
        <v>64</v>
      </c>
      <c r="B247">
        <v>6</v>
      </c>
      <c r="C247">
        <v>44</v>
      </c>
      <c r="D247" t="s">
        <v>23</v>
      </c>
      <c r="E247" t="s">
        <v>20</v>
      </c>
      <c r="F247">
        <v>13</v>
      </c>
      <c r="G247">
        <v>72</v>
      </c>
      <c r="H247">
        <v>13.209</v>
      </c>
      <c r="I247">
        <v>8</v>
      </c>
      <c r="J247" t="s">
        <v>2</v>
      </c>
      <c r="K247" s="1">
        <v>8.5537037037037038E-4</v>
      </c>
      <c r="L247">
        <f t="shared" si="3"/>
        <v>13</v>
      </c>
    </row>
    <row r="248" spans="1:12" x14ac:dyDescent="0.3">
      <c r="A248" t="s">
        <v>64</v>
      </c>
      <c r="B248">
        <v>7</v>
      </c>
      <c r="C248">
        <v>4</v>
      </c>
      <c r="D248" t="s">
        <v>21</v>
      </c>
      <c r="E248" t="s">
        <v>22</v>
      </c>
      <c r="F248">
        <v>2</v>
      </c>
      <c r="G248">
        <v>72</v>
      </c>
      <c r="H248">
        <v>13.231999999999999</v>
      </c>
      <c r="I248">
        <v>6</v>
      </c>
      <c r="J248" t="s">
        <v>2</v>
      </c>
      <c r="K248" s="1">
        <v>8.6099537037037036E-4</v>
      </c>
      <c r="L248">
        <f t="shared" si="3"/>
        <v>13</v>
      </c>
    </row>
    <row r="249" spans="1:12" x14ac:dyDescent="0.3">
      <c r="A249" t="s">
        <v>64</v>
      </c>
      <c r="B249">
        <v>8</v>
      </c>
      <c r="C249">
        <v>23</v>
      </c>
      <c r="D249" t="s">
        <v>36</v>
      </c>
      <c r="E249" t="s">
        <v>37</v>
      </c>
      <c r="F249">
        <v>4</v>
      </c>
      <c r="G249">
        <v>72</v>
      </c>
      <c r="H249">
        <v>15.154999999999999</v>
      </c>
      <c r="I249">
        <v>4</v>
      </c>
      <c r="J249" t="s">
        <v>2</v>
      </c>
      <c r="K249" s="1">
        <v>8.618981481481482E-4</v>
      </c>
      <c r="L249">
        <f t="shared" si="3"/>
        <v>13</v>
      </c>
    </row>
    <row r="250" spans="1:12" x14ac:dyDescent="0.3">
      <c r="A250" t="s">
        <v>64</v>
      </c>
      <c r="B250">
        <v>9</v>
      </c>
      <c r="C250">
        <v>81</v>
      </c>
      <c r="D250" t="s">
        <v>24</v>
      </c>
      <c r="E250" t="s">
        <v>22</v>
      </c>
      <c r="F250">
        <v>8</v>
      </c>
      <c r="G250">
        <v>72</v>
      </c>
      <c r="H250">
        <v>16.579999999999998</v>
      </c>
      <c r="I250">
        <v>2</v>
      </c>
      <c r="J250" t="s">
        <v>2</v>
      </c>
      <c r="K250" s="1">
        <v>8.5994212962962966E-4</v>
      </c>
      <c r="L250">
        <f t="shared" si="3"/>
        <v>13</v>
      </c>
    </row>
    <row r="251" spans="1:12" x14ac:dyDescent="0.3">
      <c r="A251" t="s">
        <v>64</v>
      </c>
      <c r="B251">
        <v>10</v>
      </c>
      <c r="C251">
        <v>31</v>
      </c>
      <c r="D251" t="s">
        <v>39</v>
      </c>
      <c r="E251" t="s">
        <v>40</v>
      </c>
      <c r="F251">
        <v>16</v>
      </c>
      <c r="G251">
        <v>72</v>
      </c>
      <c r="H251">
        <v>18.346</v>
      </c>
      <c r="I251">
        <v>1</v>
      </c>
      <c r="J251" t="s">
        <v>2</v>
      </c>
      <c r="K251" s="1">
        <v>8.6307870370370358E-4</v>
      </c>
      <c r="L251">
        <f t="shared" si="3"/>
        <v>13</v>
      </c>
    </row>
    <row r="252" spans="1:12" x14ac:dyDescent="0.3">
      <c r="A252" t="s">
        <v>64</v>
      </c>
      <c r="B252">
        <v>11</v>
      </c>
      <c r="C252">
        <v>18</v>
      </c>
      <c r="D252" t="s">
        <v>27</v>
      </c>
      <c r="E252" t="s">
        <v>26</v>
      </c>
      <c r="F252">
        <v>11</v>
      </c>
      <c r="G252">
        <v>72</v>
      </c>
      <c r="H252">
        <v>20.087</v>
      </c>
      <c r="I252">
        <v>0</v>
      </c>
      <c r="J252" t="s">
        <v>2</v>
      </c>
      <c r="K252" s="1">
        <v>8.7003472222222213E-4</v>
      </c>
      <c r="L252">
        <f t="shared" si="3"/>
        <v>13</v>
      </c>
    </row>
    <row r="253" spans="1:12" x14ac:dyDescent="0.3">
      <c r="A253" t="s">
        <v>64</v>
      </c>
      <c r="B253">
        <v>12</v>
      </c>
      <c r="C253">
        <v>27</v>
      </c>
      <c r="D253" t="s">
        <v>38</v>
      </c>
      <c r="E253" t="s">
        <v>32</v>
      </c>
      <c r="F253">
        <v>14</v>
      </c>
      <c r="G253">
        <v>72</v>
      </c>
      <c r="H253">
        <v>20.84</v>
      </c>
      <c r="I253">
        <v>0</v>
      </c>
      <c r="J253" t="s">
        <v>2</v>
      </c>
      <c r="K253" s="1">
        <v>8.6194444444444437E-4</v>
      </c>
      <c r="L253">
        <f t="shared" si="3"/>
        <v>13</v>
      </c>
    </row>
    <row r="254" spans="1:12" x14ac:dyDescent="0.3">
      <c r="A254" t="s">
        <v>64</v>
      </c>
      <c r="B254">
        <v>13</v>
      </c>
      <c r="C254">
        <v>40</v>
      </c>
      <c r="D254" t="s">
        <v>70</v>
      </c>
      <c r="E254" t="s">
        <v>91</v>
      </c>
      <c r="F254">
        <v>19</v>
      </c>
      <c r="G254">
        <v>72</v>
      </c>
      <c r="H254">
        <v>26.146999999999998</v>
      </c>
      <c r="I254">
        <v>0</v>
      </c>
      <c r="J254" t="s">
        <v>2</v>
      </c>
      <c r="K254" s="1">
        <v>8.6597222222222219E-4</v>
      </c>
      <c r="L254">
        <f t="shared" si="3"/>
        <v>13</v>
      </c>
    </row>
    <row r="255" spans="1:12" x14ac:dyDescent="0.3">
      <c r="A255" t="s">
        <v>64</v>
      </c>
      <c r="B255">
        <v>14</v>
      </c>
      <c r="C255">
        <v>77</v>
      </c>
      <c r="D255" t="s">
        <v>42</v>
      </c>
      <c r="E255" t="s">
        <v>90</v>
      </c>
      <c r="F255">
        <v>18</v>
      </c>
      <c r="G255">
        <v>72</v>
      </c>
      <c r="H255">
        <v>27.388000000000002</v>
      </c>
      <c r="I255">
        <v>0</v>
      </c>
      <c r="J255" t="s">
        <v>2</v>
      </c>
      <c r="K255" s="1">
        <v>8.6456018518518522E-4</v>
      </c>
      <c r="L255">
        <f t="shared" si="3"/>
        <v>13</v>
      </c>
    </row>
    <row r="256" spans="1:12" x14ac:dyDescent="0.3">
      <c r="A256" t="s">
        <v>64</v>
      </c>
      <c r="B256">
        <v>15</v>
      </c>
      <c r="C256">
        <v>22</v>
      </c>
      <c r="D256" t="s">
        <v>35</v>
      </c>
      <c r="E256" t="s">
        <v>91</v>
      </c>
      <c r="F256">
        <v>17</v>
      </c>
      <c r="G256">
        <v>72</v>
      </c>
      <c r="H256">
        <v>29.893000000000001</v>
      </c>
      <c r="I256">
        <v>0</v>
      </c>
      <c r="J256" t="s">
        <v>2</v>
      </c>
      <c r="K256" s="1">
        <v>8.8255787037037035E-4</v>
      </c>
      <c r="L256">
        <f t="shared" si="3"/>
        <v>13</v>
      </c>
    </row>
    <row r="257" spans="1:12" x14ac:dyDescent="0.3">
      <c r="A257" t="s">
        <v>64</v>
      </c>
      <c r="B257">
        <v>16</v>
      </c>
      <c r="C257">
        <v>20</v>
      </c>
      <c r="D257" t="s">
        <v>31</v>
      </c>
      <c r="E257" t="s">
        <v>32</v>
      </c>
      <c r="F257">
        <v>20</v>
      </c>
      <c r="G257">
        <v>72</v>
      </c>
      <c r="H257">
        <v>31.41</v>
      </c>
      <c r="I257">
        <v>0</v>
      </c>
      <c r="J257" t="s">
        <v>2</v>
      </c>
      <c r="K257" s="1">
        <v>8.7371527777777784E-4</v>
      </c>
      <c r="L257">
        <f t="shared" si="3"/>
        <v>13</v>
      </c>
    </row>
    <row r="258" spans="1:12" x14ac:dyDescent="0.3">
      <c r="A258" t="s">
        <v>64</v>
      </c>
      <c r="B258">
        <v>17</v>
      </c>
      <c r="C258">
        <v>63</v>
      </c>
      <c r="D258" t="s">
        <v>19</v>
      </c>
      <c r="E258" t="s">
        <v>20</v>
      </c>
      <c r="F258">
        <v>3</v>
      </c>
      <c r="G258">
        <v>72</v>
      </c>
      <c r="H258">
        <v>55.753999999999998</v>
      </c>
      <c r="I258">
        <v>0</v>
      </c>
      <c r="J258" t="s">
        <v>2</v>
      </c>
      <c r="K258" s="1">
        <v>8.6949074074074066E-4</v>
      </c>
      <c r="L258">
        <f t="shared" si="3"/>
        <v>13</v>
      </c>
    </row>
    <row r="259" spans="1:12" x14ac:dyDescent="0.3">
      <c r="A259" t="s">
        <v>64</v>
      </c>
      <c r="B259" t="s">
        <v>47</v>
      </c>
      <c r="C259">
        <v>24</v>
      </c>
      <c r="D259" t="s">
        <v>28</v>
      </c>
      <c r="E259" t="s">
        <v>90</v>
      </c>
      <c r="F259">
        <v>15</v>
      </c>
      <c r="G259">
        <v>62</v>
      </c>
      <c r="H259" t="s">
        <v>48</v>
      </c>
      <c r="I259">
        <v>0</v>
      </c>
      <c r="J259" t="s">
        <v>2</v>
      </c>
      <c r="K259" s="1">
        <v>8.7288194444444446E-4</v>
      </c>
      <c r="L259">
        <f t="shared" si="3"/>
        <v>13</v>
      </c>
    </row>
    <row r="260" spans="1:12" x14ac:dyDescent="0.3">
      <c r="A260" t="s">
        <v>64</v>
      </c>
      <c r="B260" t="s">
        <v>47</v>
      </c>
      <c r="C260">
        <v>16</v>
      </c>
      <c r="D260" t="s">
        <v>18</v>
      </c>
      <c r="E260" t="s">
        <v>17</v>
      </c>
      <c r="F260">
        <v>9</v>
      </c>
      <c r="G260">
        <v>41</v>
      </c>
      <c r="H260" t="s">
        <v>48</v>
      </c>
      <c r="I260">
        <v>0</v>
      </c>
      <c r="J260" t="s">
        <v>2</v>
      </c>
      <c r="K260" s="1">
        <v>8.9440972222222222E-4</v>
      </c>
      <c r="L260">
        <f t="shared" si="3"/>
        <v>13</v>
      </c>
    </row>
    <row r="261" spans="1:12" x14ac:dyDescent="0.3">
      <c r="A261" t="s">
        <v>64</v>
      </c>
      <c r="B261" t="s">
        <v>47</v>
      </c>
      <c r="C261">
        <v>2</v>
      </c>
      <c r="D261" t="s">
        <v>43</v>
      </c>
      <c r="E261" t="s">
        <v>37</v>
      </c>
      <c r="F261">
        <v>10</v>
      </c>
      <c r="G261">
        <v>14</v>
      </c>
      <c r="H261" t="s">
        <v>48</v>
      </c>
      <c r="I261">
        <v>0</v>
      </c>
      <c r="J261" t="s">
        <v>2</v>
      </c>
      <c r="K261" s="1">
        <v>8.9582175925925929E-4</v>
      </c>
      <c r="L261">
        <f t="shared" si="3"/>
        <v>13</v>
      </c>
    </row>
    <row r="262" spans="1:12" x14ac:dyDescent="0.3">
      <c r="A262" t="s">
        <v>65</v>
      </c>
      <c r="B262">
        <v>1</v>
      </c>
      <c r="C262">
        <v>1</v>
      </c>
      <c r="D262" t="s">
        <v>12</v>
      </c>
      <c r="E262" t="s">
        <v>13</v>
      </c>
      <c r="F262">
        <v>2</v>
      </c>
      <c r="G262">
        <v>51</v>
      </c>
      <c r="H262" s="1">
        <v>5.1170636574074072E-2</v>
      </c>
      <c r="I262">
        <v>25</v>
      </c>
      <c r="J262" t="s">
        <v>2</v>
      </c>
      <c r="K262" s="1">
        <v>9.8657407407407396E-4</v>
      </c>
      <c r="L262">
        <f t="shared" si="3"/>
        <v>14</v>
      </c>
    </row>
    <row r="263" spans="1:12" x14ac:dyDescent="0.3">
      <c r="A263" t="s">
        <v>65</v>
      </c>
      <c r="B263">
        <v>2</v>
      </c>
      <c r="C263">
        <v>11</v>
      </c>
      <c r="D263" t="s">
        <v>15</v>
      </c>
      <c r="E263" t="s">
        <v>13</v>
      </c>
      <c r="F263">
        <v>5</v>
      </c>
      <c r="G263">
        <v>51</v>
      </c>
      <c r="H263">
        <v>6.0640000000000001</v>
      </c>
      <c r="I263">
        <v>18</v>
      </c>
      <c r="J263" t="s">
        <v>2</v>
      </c>
      <c r="K263" s="1">
        <v>9.8983796296296276E-4</v>
      </c>
      <c r="L263">
        <f t="shared" si="3"/>
        <v>14</v>
      </c>
    </row>
    <row r="264" spans="1:12" x14ac:dyDescent="0.3">
      <c r="A264" t="s">
        <v>65</v>
      </c>
      <c r="B264">
        <v>3</v>
      </c>
      <c r="C264">
        <v>55</v>
      </c>
      <c r="D264" t="s">
        <v>16</v>
      </c>
      <c r="E264" t="s">
        <v>17</v>
      </c>
      <c r="F264">
        <v>1</v>
      </c>
      <c r="G264">
        <v>51</v>
      </c>
      <c r="H264">
        <v>11.193</v>
      </c>
      <c r="I264">
        <v>15</v>
      </c>
      <c r="J264" t="s">
        <v>2</v>
      </c>
      <c r="K264" s="1">
        <v>9.8959490740740757E-4</v>
      </c>
      <c r="L264">
        <f t="shared" si="3"/>
        <v>14</v>
      </c>
    </row>
    <row r="265" spans="1:12" x14ac:dyDescent="0.3">
      <c r="A265" t="s">
        <v>65</v>
      </c>
      <c r="B265">
        <v>4</v>
      </c>
      <c r="C265">
        <v>16</v>
      </c>
      <c r="D265" t="s">
        <v>18</v>
      </c>
      <c r="E265" t="s">
        <v>17</v>
      </c>
      <c r="F265">
        <v>3</v>
      </c>
      <c r="G265">
        <v>51</v>
      </c>
      <c r="H265">
        <v>11.377000000000001</v>
      </c>
      <c r="I265">
        <v>12</v>
      </c>
      <c r="J265" t="s">
        <v>2</v>
      </c>
      <c r="K265" s="1">
        <v>9.9050925925925934E-4</v>
      </c>
      <c r="L265">
        <f t="shared" si="3"/>
        <v>14</v>
      </c>
    </row>
    <row r="266" spans="1:12" x14ac:dyDescent="0.3">
      <c r="A266" t="s">
        <v>65</v>
      </c>
      <c r="B266">
        <v>5</v>
      </c>
      <c r="C266">
        <v>63</v>
      </c>
      <c r="D266" t="s">
        <v>19</v>
      </c>
      <c r="E266" t="s">
        <v>20</v>
      </c>
      <c r="F266">
        <v>4</v>
      </c>
      <c r="G266">
        <v>51</v>
      </c>
      <c r="H266">
        <v>23.027999999999999</v>
      </c>
      <c r="I266">
        <v>10</v>
      </c>
      <c r="J266" t="s">
        <v>2</v>
      </c>
      <c r="K266" s="1">
        <v>9.9359953703703719E-4</v>
      </c>
      <c r="L266">
        <f t="shared" si="3"/>
        <v>14</v>
      </c>
    </row>
    <row r="267" spans="1:12" x14ac:dyDescent="0.3">
      <c r="A267" t="s">
        <v>65</v>
      </c>
      <c r="B267">
        <v>6</v>
      </c>
      <c r="C267">
        <v>44</v>
      </c>
      <c r="D267" t="s">
        <v>23</v>
      </c>
      <c r="E267" t="s">
        <v>20</v>
      </c>
      <c r="F267">
        <v>8</v>
      </c>
      <c r="G267">
        <v>51</v>
      </c>
      <c r="H267">
        <v>42.679000000000002</v>
      </c>
      <c r="I267">
        <v>8</v>
      </c>
      <c r="J267" t="s">
        <v>2</v>
      </c>
      <c r="K267" s="1">
        <v>9.9053240740740742E-4</v>
      </c>
      <c r="L267">
        <f t="shared" si="3"/>
        <v>14</v>
      </c>
    </row>
    <row r="268" spans="1:12" x14ac:dyDescent="0.3">
      <c r="A268" t="s">
        <v>65</v>
      </c>
      <c r="B268">
        <v>7</v>
      </c>
      <c r="C268">
        <v>23</v>
      </c>
      <c r="D268" t="s">
        <v>36</v>
      </c>
      <c r="E268" t="s">
        <v>37</v>
      </c>
      <c r="F268">
        <v>6</v>
      </c>
      <c r="G268">
        <v>51</v>
      </c>
      <c r="H268">
        <v>45.106000000000002</v>
      </c>
      <c r="I268">
        <v>6</v>
      </c>
      <c r="J268" t="s">
        <v>2</v>
      </c>
      <c r="K268" s="1">
        <v>9.9987268518518524E-4</v>
      </c>
      <c r="L268">
        <f t="shared" si="3"/>
        <v>14</v>
      </c>
    </row>
    <row r="269" spans="1:12" x14ac:dyDescent="0.3">
      <c r="A269" t="s">
        <v>65</v>
      </c>
      <c r="B269">
        <v>8</v>
      </c>
      <c r="C269">
        <v>4</v>
      </c>
      <c r="D269" t="s">
        <v>21</v>
      </c>
      <c r="E269" t="s">
        <v>22</v>
      </c>
      <c r="F269">
        <v>9</v>
      </c>
      <c r="G269">
        <v>51</v>
      </c>
      <c r="H269">
        <v>45.448999999999998</v>
      </c>
      <c r="I269">
        <v>4</v>
      </c>
      <c r="J269" t="s">
        <v>2</v>
      </c>
      <c r="K269" s="1">
        <v>9.9703703703703716E-4</v>
      </c>
      <c r="L269">
        <f t="shared" si="3"/>
        <v>14</v>
      </c>
    </row>
    <row r="270" spans="1:12" x14ac:dyDescent="0.3">
      <c r="A270" t="s">
        <v>65</v>
      </c>
      <c r="B270">
        <v>9</v>
      </c>
      <c r="C270">
        <v>14</v>
      </c>
      <c r="D270" t="s">
        <v>25</v>
      </c>
      <c r="E270" t="s">
        <v>26</v>
      </c>
      <c r="F270">
        <v>10</v>
      </c>
      <c r="G270">
        <v>51</v>
      </c>
      <c r="H270">
        <v>46.293999999999997</v>
      </c>
      <c r="I270">
        <v>2</v>
      </c>
      <c r="J270" t="s">
        <v>2</v>
      </c>
      <c r="K270" s="1">
        <v>9.9658564814814814E-4</v>
      </c>
      <c r="L270">
        <f t="shared" si="3"/>
        <v>14</v>
      </c>
    </row>
    <row r="271" spans="1:12" x14ac:dyDescent="0.3">
      <c r="A271" t="s">
        <v>65</v>
      </c>
      <c r="B271">
        <v>10</v>
      </c>
      <c r="C271">
        <v>77</v>
      </c>
      <c r="D271" t="s">
        <v>42</v>
      </c>
      <c r="E271" t="s">
        <v>90</v>
      </c>
      <c r="F271">
        <v>14</v>
      </c>
      <c r="G271">
        <v>51</v>
      </c>
      <c r="H271">
        <v>64.055999999999997</v>
      </c>
      <c r="I271">
        <v>1</v>
      </c>
      <c r="J271" t="s">
        <v>2</v>
      </c>
      <c r="K271" s="1">
        <v>9.9523148148148149E-4</v>
      </c>
      <c r="L271">
        <f t="shared" si="3"/>
        <v>14</v>
      </c>
    </row>
    <row r="272" spans="1:12" x14ac:dyDescent="0.3">
      <c r="A272" t="s">
        <v>65</v>
      </c>
      <c r="B272">
        <v>11</v>
      </c>
      <c r="C272">
        <v>40</v>
      </c>
      <c r="D272" t="s">
        <v>70</v>
      </c>
      <c r="E272" t="s">
        <v>91</v>
      </c>
      <c r="F272">
        <v>12</v>
      </c>
      <c r="G272">
        <v>51</v>
      </c>
      <c r="H272">
        <v>70.638000000000005</v>
      </c>
      <c r="I272">
        <v>0</v>
      </c>
      <c r="J272" t="s">
        <v>2</v>
      </c>
      <c r="K272" s="1">
        <v>9.9354166666666666E-4</v>
      </c>
      <c r="L272">
        <f t="shared" si="3"/>
        <v>14</v>
      </c>
    </row>
    <row r="273" spans="1:12" x14ac:dyDescent="0.3">
      <c r="A273" t="s">
        <v>65</v>
      </c>
      <c r="B273">
        <v>12</v>
      </c>
      <c r="C273">
        <v>81</v>
      </c>
      <c r="D273" t="s">
        <v>24</v>
      </c>
      <c r="E273" t="s">
        <v>22</v>
      </c>
      <c r="F273">
        <v>7</v>
      </c>
      <c r="G273">
        <v>51</v>
      </c>
      <c r="H273">
        <v>73.073999999999998</v>
      </c>
      <c r="I273">
        <v>0</v>
      </c>
      <c r="J273" t="s">
        <v>14</v>
      </c>
      <c r="K273" s="1">
        <v>9.8462962962962957E-4</v>
      </c>
      <c r="L273">
        <f t="shared" si="3"/>
        <v>14</v>
      </c>
    </row>
    <row r="274" spans="1:12" x14ac:dyDescent="0.3">
      <c r="A274" t="s">
        <v>65</v>
      </c>
      <c r="B274">
        <v>13</v>
      </c>
      <c r="C274">
        <v>2</v>
      </c>
      <c r="D274" t="s">
        <v>43</v>
      </c>
      <c r="E274" t="s">
        <v>37</v>
      </c>
      <c r="F274">
        <v>15</v>
      </c>
      <c r="G274">
        <v>51</v>
      </c>
      <c r="H274">
        <v>78.557000000000002</v>
      </c>
      <c r="I274">
        <v>0</v>
      </c>
      <c r="J274" t="s">
        <v>2</v>
      </c>
      <c r="K274" s="1">
        <v>1.0050925925925926E-3</v>
      </c>
      <c r="L274">
        <f t="shared" si="3"/>
        <v>14</v>
      </c>
    </row>
    <row r="275" spans="1:12" x14ac:dyDescent="0.3">
      <c r="A275" t="s">
        <v>65</v>
      </c>
      <c r="B275">
        <v>14</v>
      </c>
      <c r="C275">
        <v>24</v>
      </c>
      <c r="D275" t="s">
        <v>28</v>
      </c>
      <c r="E275" t="s">
        <v>90</v>
      </c>
      <c r="F275">
        <v>16</v>
      </c>
      <c r="G275">
        <v>51</v>
      </c>
      <c r="H275">
        <v>80.164000000000001</v>
      </c>
      <c r="I275">
        <v>0</v>
      </c>
      <c r="J275" t="s">
        <v>2</v>
      </c>
      <c r="K275" s="1">
        <v>9.9517361111111117E-4</v>
      </c>
      <c r="L275">
        <f t="shared" si="3"/>
        <v>14</v>
      </c>
    </row>
    <row r="276" spans="1:12" x14ac:dyDescent="0.3">
      <c r="A276" t="s">
        <v>65</v>
      </c>
      <c r="B276">
        <v>15</v>
      </c>
      <c r="C276">
        <v>10</v>
      </c>
      <c r="D276" t="s">
        <v>41</v>
      </c>
      <c r="E276" t="s">
        <v>40</v>
      </c>
      <c r="F276">
        <v>17</v>
      </c>
      <c r="G276">
        <v>51</v>
      </c>
      <c r="H276">
        <v>82.51</v>
      </c>
      <c r="I276">
        <v>0</v>
      </c>
      <c r="J276" t="s">
        <v>2</v>
      </c>
      <c r="K276" s="1">
        <v>9.9256944444444436E-4</v>
      </c>
      <c r="L276">
        <f t="shared" si="3"/>
        <v>14</v>
      </c>
    </row>
    <row r="277" spans="1:12" x14ac:dyDescent="0.3">
      <c r="A277" t="s">
        <v>65</v>
      </c>
      <c r="B277">
        <v>16</v>
      </c>
      <c r="C277">
        <v>18</v>
      </c>
      <c r="D277" t="s">
        <v>27</v>
      </c>
      <c r="E277" t="s">
        <v>26</v>
      </c>
      <c r="F277">
        <v>20</v>
      </c>
      <c r="G277">
        <v>51</v>
      </c>
      <c r="H277">
        <v>87.266000000000005</v>
      </c>
      <c r="I277">
        <v>0</v>
      </c>
      <c r="J277" t="s">
        <v>2</v>
      </c>
      <c r="K277" s="1">
        <v>1.0025115740740741E-3</v>
      </c>
      <c r="L277">
        <f t="shared" si="3"/>
        <v>14</v>
      </c>
    </row>
    <row r="278" spans="1:12" x14ac:dyDescent="0.3">
      <c r="A278" t="s">
        <v>65</v>
      </c>
      <c r="B278">
        <v>17</v>
      </c>
      <c r="C278">
        <v>27</v>
      </c>
      <c r="D278" t="s">
        <v>38</v>
      </c>
      <c r="E278" t="s">
        <v>32</v>
      </c>
      <c r="F278">
        <v>13</v>
      </c>
      <c r="G278">
        <v>50</v>
      </c>
      <c r="H278" t="s">
        <v>30</v>
      </c>
      <c r="I278">
        <v>0</v>
      </c>
      <c r="J278" t="s">
        <v>2</v>
      </c>
      <c r="K278" s="1">
        <v>9.9414351851851855E-4</v>
      </c>
      <c r="L278">
        <f t="shared" si="3"/>
        <v>14</v>
      </c>
    </row>
    <row r="279" spans="1:12" x14ac:dyDescent="0.3">
      <c r="A279" t="s">
        <v>65</v>
      </c>
      <c r="B279">
        <v>18</v>
      </c>
      <c r="C279">
        <v>20</v>
      </c>
      <c r="D279" t="s">
        <v>31</v>
      </c>
      <c r="E279" t="s">
        <v>32</v>
      </c>
      <c r="F279">
        <v>19</v>
      </c>
      <c r="G279">
        <v>50</v>
      </c>
      <c r="H279" t="s">
        <v>30</v>
      </c>
      <c r="I279">
        <v>0</v>
      </c>
      <c r="J279" t="s">
        <v>2</v>
      </c>
      <c r="K279" s="1">
        <v>9.9858796296296284E-4</v>
      </c>
      <c r="L279">
        <f t="shared" ref="L279:L342" si="4">L259+1</f>
        <v>14</v>
      </c>
    </row>
    <row r="280" spans="1:12" x14ac:dyDescent="0.3">
      <c r="A280" t="s">
        <v>65</v>
      </c>
      <c r="B280" t="s">
        <v>47</v>
      </c>
      <c r="C280">
        <v>31</v>
      </c>
      <c r="D280" t="s">
        <v>39</v>
      </c>
      <c r="E280" t="s">
        <v>40</v>
      </c>
      <c r="F280">
        <v>18</v>
      </c>
      <c r="G280">
        <v>39</v>
      </c>
      <c r="H280" t="s">
        <v>48</v>
      </c>
      <c r="I280">
        <v>0</v>
      </c>
      <c r="J280" t="s">
        <v>2</v>
      </c>
      <c r="K280" s="1">
        <v>1.0065162037037037E-3</v>
      </c>
      <c r="L280">
        <f t="shared" si="4"/>
        <v>14</v>
      </c>
    </row>
    <row r="281" spans="1:12" x14ac:dyDescent="0.3">
      <c r="A281" t="s">
        <v>65</v>
      </c>
      <c r="B281" t="s">
        <v>47</v>
      </c>
      <c r="C281">
        <v>22</v>
      </c>
      <c r="D281" t="s">
        <v>35</v>
      </c>
      <c r="E281" t="s">
        <v>91</v>
      </c>
      <c r="F281">
        <v>11</v>
      </c>
      <c r="G281">
        <v>0</v>
      </c>
      <c r="H281" t="s">
        <v>60</v>
      </c>
      <c r="I281">
        <v>0</v>
      </c>
      <c r="J281" t="s">
        <v>2</v>
      </c>
      <c r="L281">
        <f t="shared" si="4"/>
        <v>14</v>
      </c>
    </row>
    <row r="282" spans="1:12" x14ac:dyDescent="0.3">
      <c r="A282" t="s">
        <v>68</v>
      </c>
      <c r="B282">
        <v>1</v>
      </c>
      <c r="C282">
        <v>55</v>
      </c>
      <c r="D282" t="s">
        <v>16</v>
      </c>
      <c r="E282" t="s">
        <v>17</v>
      </c>
      <c r="F282">
        <v>1</v>
      </c>
      <c r="G282">
        <v>62</v>
      </c>
      <c r="H282" s="1">
        <v>7.4044189814814809E-2</v>
      </c>
      <c r="I282">
        <v>25</v>
      </c>
      <c r="J282" t="s">
        <v>2</v>
      </c>
      <c r="K282" s="1">
        <v>1.1303935185185184E-3</v>
      </c>
      <c r="L282">
        <f t="shared" si="4"/>
        <v>15</v>
      </c>
    </row>
    <row r="283" spans="1:12" x14ac:dyDescent="0.3">
      <c r="A283" t="s">
        <v>68</v>
      </c>
      <c r="B283">
        <v>2</v>
      </c>
      <c r="C283">
        <v>4</v>
      </c>
      <c r="D283" t="s">
        <v>21</v>
      </c>
      <c r="E283" t="s">
        <v>22</v>
      </c>
      <c r="F283">
        <v>4</v>
      </c>
      <c r="G283">
        <v>62</v>
      </c>
      <c r="H283">
        <v>0.81200000000000006</v>
      </c>
      <c r="I283">
        <v>18</v>
      </c>
      <c r="J283" t="s">
        <v>2</v>
      </c>
      <c r="K283" s="1">
        <v>1.1347916666666665E-3</v>
      </c>
      <c r="L283">
        <f t="shared" si="4"/>
        <v>15</v>
      </c>
    </row>
    <row r="284" spans="1:12" x14ac:dyDescent="0.3">
      <c r="A284" t="s">
        <v>68</v>
      </c>
      <c r="B284">
        <v>3</v>
      </c>
      <c r="C284">
        <v>44</v>
      </c>
      <c r="D284" t="s">
        <v>23</v>
      </c>
      <c r="E284" t="s">
        <v>20</v>
      </c>
      <c r="F284">
        <v>5</v>
      </c>
      <c r="G284">
        <v>62</v>
      </c>
      <c r="H284">
        <v>1.2689999999999999</v>
      </c>
      <c r="I284">
        <v>16</v>
      </c>
      <c r="J284" t="s">
        <v>14</v>
      </c>
      <c r="K284" s="1">
        <v>1.1095717592592591E-3</v>
      </c>
      <c r="L284">
        <f t="shared" si="4"/>
        <v>15</v>
      </c>
    </row>
    <row r="285" spans="1:12" x14ac:dyDescent="0.3">
      <c r="A285" t="s">
        <v>68</v>
      </c>
      <c r="B285">
        <v>4</v>
      </c>
      <c r="C285">
        <v>16</v>
      </c>
      <c r="D285" t="s">
        <v>18</v>
      </c>
      <c r="E285" t="s">
        <v>17</v>
      </c>
      <c r="F285">
        <v>3</v>
      </c>
      <c r="G285">
        <v>62</v>
      </c>
      <c r="H285">
        <v>21.177</v>
      </c>
      <c r="I285">
        <v>12</v>
      </c>
      <c r="J285" t="s">
        <v>2</v>
      </c>
      <c r="K285" s="1">
        <v>1.1374421296296297E-3</v>
      </c>
      <c r="L285">
        <f t="shared" si="4"/>
        <v>15</v>
      </c>
    </row>
    <row r="286" spans="1:12" x14ac:dyDescent="0.3">
      <c r="A286" t="s">
        <v>68</v>
      </c>
      <c r="B286">
        <v>5</v>
      </c>
      <c r="C286">
        <v>1</v>
      </c>
      <c r="D286" t="s">
        <v>12</v>
      </c>
      <c r="E286" t="s">
        <v>13</v>
      </c>
      <c r="F286">
        <v>11</v>
      </c>
      <c r="G286">
        <v>62</v>
      </c>
      <c r="H286">
        <v>21.440999999999999</v>
      </c>
      <c r="I286">
        <v>10</v>
      </c>
      <c r="J286" t="s">
        <v>2</v>
      </c>
      <c r="K286" s="1">
        <v>1.1177662037037037E-3</v>
      </c>
      <c r="L286">
        <f t="shared" si="4"/>
        <v>15</v>
      </c>
    </row>
    <row r="287" spans="1:12" x14ac:dyDescent="0.3">
      <c r="A287" t="s">
        <v>68</v>
      </c>
      <c r="B287">
        <v>6</v>
      </c>
      <c r="C287">
        <v>10</v>
      </c>
      <c r="D287" t="s">
        <v>41</v>
      </c>
      <c r="E287" t="s">
        <v>40</v>
      </c>
      <c r="F287">
        <v>12</v>
      </c>
      <c r="G287">
        <v>62</v>
      </c>
      <c r="H287">
        <v>38.441000000000003</v>
      </c>
      <c r="I287">
        <v>8</v>
      </c>
      <c r="J287" t="s">
        <v>2</v>
      </c>
      <c r="K287" s="1">
        <v>1.1374652777777778E-3</v>
      </c>
      <c r="L287">
        <f t="shared" si="4"/>
        <v>15</v>
      </c>
    </row>
    <row r="288" spans="1:12" x14ac:dyDescent="0.3">
      <c r="A288" t="s">
        <v>68</v>
      </c>
      <c r="B288">
        <v>7</v>
      </c>
      <c r="C288">
        <v>81</v>
      </c>
      <c r="D288" t="s">
        <v>24</v>
      </c>
      <c r="E288" t="s">
        <v>22</v>
      </c>
      <c r="F288">
        <v>17</v>
      </c>
      <c r="G288">
        <v>62</v>
      </c>
      <c r="H288">
        <v>41.478999999999999</v>
      </c>
      <c r="I288">
        <v>6</v>
      </c>
      <c r="J288" t="s">
        <v>2</v>
      </c>
      <c r="K288" s="1">
        <v>1.1399537037037036E-3</v>
      </c>
      <c r="L288">
        <f t="shared" si="4"/>
        <v>15</v>
      </c>
    </row>
    <row r="289" spans="1:12" x14ac:dyDescent="0.3">
      <c r="A289" t="s">
        <v>68</v>
      </c>
      <c r="B289">
        <v>8</v>
      </c>
      <c r="C289">
        <v>11</v>
      </c>
      <c r="D289" t="s">
        <v>15</v>
      </c>
      <c r="E289" t="s">
        <v>13</v>
      </c>
      <c r="F289">
        <v>13</v>
      </c>
      <c r="G289">
        <v>62</v>
      </c>
      <c r="H289">
        <v>54.533999999999999</v>
      </c>
      <c r="I289">
        <v>4</v>
      </c>
      <c r="J289" t="s">
        <v>2</v>
      </c>
      <c r="K289" s="1">
        <v>1.1239351851851853E-3</v>
      </c>
      <c r="L289">
        <f t="shared" si="4"/>
        <v>15</v>
      </c>
    </row>
    <row r="290" spans="1:12" x14ac:dyDescent="0.3">
      <c r="A290" t="s">
        <v>68</v>
      </c>
      <c r="B290">
        <v>9</v>
      </c>
      <c r="C290">
        <v>40</v>
      </c>
      <c r="D290" t="s">
        <v>70</v>
      </c>
      <c r="E290" t="s">
        <v>91</v>
      </c>
      <c r="F290">
        <v>10</v>
      </c>
      <c r="G290">
        <v>62</v>
      </c>
      <c r="H290">
        <v>65.918000000000006</v>
      </c>
      <c r="I290">
        <v>2</v>
      </c>
      <c r="J290" t="s">
        <v>2</v>
      </c>
      <c r="K290" s="1">
        <v>1.1461574074074074E-3</v>
      </c>
      <c r="L290">
        <f t="shared" si="4"/>
        <v>15</v>
      </c>
    </row>
    <row r="291" spans="1:12" x14ac:dyDescent="0.3">
      <c r="A291" t="s">
        <v>68</v>
      </c>
      <c r="B291">
        <v>10</v>
      </c>
      <c r="C291">
        <v>20</v>
      </c>
      <c r="D291" t="s">
        <v>31</v>
      </c>
      <c r="E291" t="s">
        <v>32</v>
      </c>
      <c r="F291">
        <v>6</v>
      </c>
      <c r="G291">
        <v>62</v>
      </c>
      <c r="H291">
        <v>72.116</v>
      </c>
      <c r="I291">
        <v>1</v>
      </c>
      <c r="J291" t="s">
        <v>2</v>
      </c>
      <c r="K291" s="1">
        <v>1.1354976851851851E-3</v>
      </c>
      <c r="L291">
        <f t="shared" si="4"/>
        <v>15</v>
      </c>
    </row>
    <row r="292" spans="1:12" x14ac:dyDescent="0.3">
      <c r="A292" t="s">
        <v>68</v>
      </c>
      <c r="B292">
        <v>11</v>
      </c>
      <c r="C292">
        <v>23</v>
      </c>
      <c r="D292" t="s">
        <v>36</v>
      </c>
      <c r="E292" t="s">
        <v>37</v>
      </c>
      <c r="F292">
        <v>14</v>
      </c>
      <c r="G292">
        <v>62</v>
      </c>
      <c r="H292">
        <v>73.417000000000002</v>
      </c>
      <c r="I292">
        <v>0</v>
      </c>
      <c r="J292" t="s">
        <v>2</v>
      </c>
      <c r="K292" s="1">
        <v>1.1266435185185186E-3</v>
      </c>
      <c r="L292">
        <f t="shared" si="4"/>
        <v>15</v>
      </c>
    </row>
    <row r="293" spans="1:12" x14ac:dyDescent="0.3">
      <c r="A293" t="s">
        <v>68</v>
      </c>
      <c r="B293">
        <v>12</v>
      </c>
      <c r="C293">
        <v>24</v>
      </c>
      <c r="D293" t="s">
        <v>28</v>
      </c>
      <c r="E293" t="s">
        <v>90</v>
      </c>
      <c r="F293">
        <v>19</v>
      </c>
      <c r="G293">
        <v>62</v>
      </c>
      <c r="H293">
        <v>83.649000000000001</v>
      </c>
      <c r="I293">
        <v>0</v>
      </c>
      <c r="J293" t="s">
        <v>2</v>
      </c>
      <c r="K293" s="1">
        <v>1.1494907407407409E-3</v>
      </c>
      <c r="L293">
        <f t="shared" si="4"/>
        <v>15</v>
      </c>
    </row>
    <row r="294" spans="1:12" x14ac:dyDescent="0.3">
      <c r="A294" t="s">
        <v>68</v>
      </c>
      <c r="B294">
        <v>13</v>
      </c>
      <c r="C294">
        <v>27</v>
      </c>
      <c r="D294" t="s">
        <v>38</v>
      </c>
      <c r="E294" t="s">
        <v>32</v>
      </c>
      <c r="F294">
        <v>9</v>
      </c>
      <c r="G294">
        <v>62</v>
      </c>
      <c r="H294">
        <v>85.200999999999993</v>
      </c>
      <c r="I294">
        <v>0</v>
      </c>
      <c r="J294" t="s">
        <v>2</v>
      </c>
      <c r="K294" s="1">
        <v>1.1565162037037037E-3</v>
      </c>
      <c r="L294">
        <f t="shared" si="4"/>
        <v>15</v>
      </c>
    </row>
    <row r="295" spans="1:12" x14ac:dyDescent="0.3">
      <c r="A295" t="s">
        <v>68</v>
      </c>
      <c r="B295">
        <v>14</v>
      </c>
      <c r="C295">
        <v>2</v>
      </c>
      <c r="D295" t="s">
        <v>43</v>
      </c>
      <c r="E295" t="s">
        <v>37</v>
      </c>
      <c r="F295">
        <v>18</v>
      </c>
      <c r="G295">
        <v>62</v>
      </c>
      <c r="H295">
        <v>86.888999999999996</v>
      </c>
      <c r="I295">
        <v>0</v>
      </c>
      <c r="J295" t="s">
        <v>2</v>
      </c>
      <c r="K295" s="1">
        <v>1.1404050925925926E-3</v>
      </c>
      <c r="L295">
        <f t="shared" si="4"/>
        <v>15</v>
      </c>
    </row>
    <row r="296" spans="1:12" x14ac:dyDescent="0.3">
      <c r="A296" t="s">
        <v>68</v>
      </c>
      <c r="B296">
        <v>15</v>
      </c>
      <c r="C296">
        <v>14</v>
      </c>
      <c r="D296" t="s">
        <v>25</v>
      </c>
      <c r="E296" t="s">
        <v>26</v>
      </c>
      <c r="F296">
        <v>7</v>
      </c>
      <c r="G296">
        <v>62</v>
      </c>
      <c r="H296">
        <v>87.602999999999994</v>
      </c>
      <c r="I296">
        <v>0</v>
      </c>
      <c r="J296" t="s">
        <v>2</v>
      </c>
      <c r="K296" s="1">
        <v>1.116388888888889E-3</v>
      </c>
      <c r="L296">
        <f t="shared" si="4"/>
        <v>15</v>
      </c>
    </row>
    <row r="297" spans="1:12" x14ac:dyDescent="0.3">
      <c r="A297" t="s">
        <v>68</v>
      </c>
      <c r="B297">
        <v>16</v>
      </c>
      <c r="C297">
        <v>63</v>
      </c>
      <c r="D297" t="s">
        <v>19</v>
      </c>
      <c r="E297" t="s">
        <v>20</v>
      </c>
      <c r="F297">
        <v>2</v>
      </c>
      <c r="G297">
        <v>61</v>
      </c>
      <c r="H297" t="s">
        <v>48</v>
      </c>
      <c r="I297">
        <v>0</v>
      </c>
      <c r="J297" t="s">
        <v>2</v>
      </c>
      <c r="K297" s="1">
        <v>1.1142708333333332E-3</v>
      </c>
      <c r="L297">
        <f t="shared" si="4"/>
        <v>15</v>
      </c>
    </row>
    <row r="298" spans="1:12" x14ac:dyDescent="0.3">
      <c r="A298" t="s">
        <v>68</v>
      </c>
      <c r="B298" t="s">
        <v>47</v>
      </c>
      <c r="C298">
        <v>77</v>
      </c>
      <c r="D298" t="s">
        <v>42</v>
      </c>
      <c r="E298" t="s">
        <v>90</v>
      </c>
      <c r="F298">
        <v>16</v>
      </c>
      <c r="G298">
        <v>51</v>
      </c>
      <c r="H298" t="s">
        <v>48</v>
      </c>
      <c r="I298">
        <v>0</v>
      </c>
      <c r="J298" t="s">
        <v>2</v>
      </c>
      <c r="K298" s="1">
        <v>1.1351273148148149E-3</v>
      </c>
      <c r="L298">
        <f t="shared" si="4"/>
        <v>15</v>
      </c>
    </row>
    <row r="299" spans="1:12" x14ac:dyDescent="0.3">
      <c r="A299" t="s">
        <v>68</v>
      </c>
      <c r="B299" t="s">
        <v>47</v>
      </c>
      <c r="C299">
        <v>31</v>
      </c>
      <c r="D299" t="s">
        <v>39</v>
      </c>
      <c r="E299" t="s">
        <v>40</v>
      </c>
      <c r="F299">
        <v>8</v>
      </c>
      <c r="G299">
        <v>42</v>
      </c>
      <c r="H299" t="s">
        <v>48</v>
      </c>
      <c r="I299">
        <v>0</v>
      </c>
      <c r="J299" t="s">
        <v>2</v>
      </c>
      <c r="K299" s="1">
        <v>1.1565972222222223E-3</v>
      </c>
      <c r="L299">
        <f t="shared" si="4"/>
        <v>15</v>
      </c>
    </row>
    <row r="300" spans="1:12" x14ac:dyDescent="0.3">
      <c r="A300" t="s">
        <v>68</v>
      </c>
      <c r="B300" t="s">
        <v>47</v>
      </c>
      <c r="C300">
        <v>22</v>
      </c>
      <c r="D300" t="s">
        <v>35</v>
      </c>
      <c r="E300" t="s">
        <v>91</v>
      </c>
      <c r="F300">
        <v>15</v>
      </c>
      <c r="G300">
        <v>0</v>
      </c>
      <c r="H300" t="s">
        <v>48</v>
      </c>
      <c r="I300">
        <v>0</v>
      </c>
      <c r="J300" t="s">
        <v>2</v>
      </c>
      <c r="L300">
        <f t="shared" si="4"/>
        <v>15</v>
      </c>
    </row>
    <row r="301" spans="1:12" x14ac:dyDescent="0.3">
      <c r="A301" t="s">
        <v>68</v>
      </c>
      <c r="B301" t="s">
        <v>47</v>
      </c>
      <c r="C301">
        <v>18</v>
      </c>
      <c r="D301" t="s">
        <v>27</v>
      </c>
      <c r="E301" t="s">
        <v>26</v>
      </c>
      <c r="F301">
        <v>20</v>
      </c>
      <c r="G301">
        <v>0</v>
      </c>
      <c r="H301" t="s">
        <v>60</v>
      </c>
      <c r="I301">
        <v>0</v>
      </c>
      <c r="J301" t="s">
        <v>2</v>
      </c>
      <c r="L301">
        <f t="shared" si="4"/>
        <v>15</v>
      </c>
    </row>
    <row r="302" spans="1:12" x14ac:dyDescent="0.3">
      <c r="A302" t="s">
        <v>50</v>
      </c>
      <c r="B302">
        <v>1</v>
      </c>
      <c r="C302">
        <v>1</v>
      </c>
      <c r="D302" t="s">
        <v>12</v>
      </c>
      <c r="E302" t="s">
        <v>13</v>
      </c>
      <c r="F302">
        <v>1</v>
      </c>
      <c r="G302">
        <v>53</v>
      </c>
      <c r="H302" s="1">
        <v>6.3176168981481484E-2</v>
      </c>
      <c r="I302">
        <v>26</v>
      </c>
      <c r="J302" t="s">
        <v>14</v>
      </c>
      <c r="K302" s="1">
        <v>1.0900810185185184E-3</v>
      </c>
      <c r="L302">
        <f t="shared" si="4"/>
        <v>16</v>
      </c>
    </row>
    <row r="303" spans="1:12" x14ac:dyDescent="0.3">
      <c r="A303" t="s">
        <v>50</v>
      </c>
      <c r="B303">
        <v>2</v>
      </c>
      <c r="C303">
        <v>4</v>
      </c>
      <c r="D303" t="s">
        <v>21</v>
      </c>
      <c r="E303" t="s">
        <v>22</v>
      </c>
      <c r="F303">
        <v>3</v>
      </c>
      <c r="G303">
        <v>53</v>
      </c>
      <c r="H303">
        <v>19.387</v>
      </c>
      <c r="I303">
        <v>18</v>
      </c>
      <c r="J303" t="s">
        <v>2</v>
      </c>
      <c r="K303" s="1">
        <v>1.1023958333333333E-3</v>
      </c>
      <c r="L303">
        <f t="shared" si="4"/>
        <v>16</v>
      </c>
    </row>
    <row r="304" spans="1:12" x14ac:dyDescent="0.3">
      <c r="A304" t="s">
        <v>50</v>
      </c>
      <c r="B304">
        <v>3</v>
      </c>
      <c r="C304">
        <v>81</v>
      </c>
      <c r="D304" t="s">
        <v>24</v>
      </c>
      <c r="E304" t="s">
        <v>22</v>
      </c>
      <c r="F304">
        <v>2</v>
      </c>
      <c r="G304">
        <v>53</v>
      </c>
      <c r="H304">
        <v>36.494</v>
      </c>
      <c r="I304">
        <v>15</v>
      </c>
      <c r="J304" t="s">
        <v>2</v>
      </c>
      <c r="K304" s="1">
        <v>1.1149074074074073E-3</v>
      </c>
      <c r="L304">
        <f t="shared" si="4"/>
        <v>16</v>
      </c>
    </row>
    <row r="305" spans="1:12" x14ac:dyDescent="0.3">
      <c r="A305" t="s">
        <v>50</v>
      </c>
      <c r="B305">
        <v>4</v>
      </c>
      <c r="C305">
        <v>16</v>
      </c>
      <c r="D305" t="s">
        <v>18</v>
      </c>
      <c r="E305" t="s">
        <v>17</v>
      </c>
      <c r="F305">
        <v>4</v>
      </c>
      <c r="G305">
        <v>53</v>
      </c>
      <c r="H305">
        <v>43.997999999999998</v>
      </c>
      <c r="I305">
        <v>12</v>
      </c>
      <c r="J305" t="s">
        <v>2</v>
      </c>
      <c r="K305" s="1">
        <v>1.1153009259259258E-3</v>
      </c>
      <c r="L305">
        <f t="shared" si="4"/>
        <v>16</v>
      </c>
    </row>
    <row r="306" spans="1:12" x14ac:dyDescent="0.3">
      <c r="A306" t="s">
        <v>50</v>
      </c>
      <c r="B306">
        <v>5</v>
      </c>
      <c r="C306">
        <v>44</v>
      </c>
      <c r="D306" t="s">
        <v>23</v>
      </c>
      <c r="E306" t="s">
        <v>20</v>
      </c>
      <c r="F306">
        <v>7</v>
      </c>
      <c r="G306">
        <v>53</v>
      </c>
      <c r="H306">
        <v>49.375999999999998</v>
      </c>
      <c r="I306">
        <v>10</v>
      </c>
      <c r="J306" t="s">
        <v>2</v>
      </c>
      <c r="K306" s="1">
        <v>1.1066087962962961E-3</v>
      </c>
      <c r="L306">
        <f t="shared" si="4"/>
        <v>16</v>
      </c>
    </row>
    <row r="307" spans="1:12" x14ac:dyDescent="0.3">
      <c r="A307" t="s">
        <v>50</v>
      </c>
      <c r="B307">
        <v>6</v>
      </c>
      <c r="C307">
        <v>55</v>
      </c>
      <c r="D307" t="s">
        <v>16</v>
      </c>
      <c r="E307" t="s">
        <v>17</v>
      </c>
      <c r="F307">
        <v>6</v>
      </c>
      <c r="G307">
        <v>53</v>
      </c>
      <c r="H307">
        <v>50.220999999999997</v>
      </c>
      <c r="I307">
        <v>8</v>
      </c>
      <c r="J307" t="s">
        <v>2</v>
      </c>
      <c r="K307" s="1">
        <v>1.1132754629629628E-3</v>
      </c>
      <c r="L307">
        <f t="shared" si="4"/>
        <v>16</v>
      </c>
    </row>
    <row r="308" spans="1:12" x14ac:dyDescent="0.3">
      <c r="A308" t="s">
        <v>50</v>
      </c>
      <c r="B308">
        <v>7</v>
      </c>
      <c r="C308">
        <v>63</v>
      </c>
      <c r="D308" t="s">
        <v>19</v>
      </c>
      <c r="E308" t="s">
        <v>20</v>
      </c>
      <c r="F308">
        <v>8</v>
      </c>
      <c r="G308">
        <v>53</v>
      </c>
      <c r="H308">
        <v>57.658999999999999</v>
      </c>
      <c r="I308">
        <v>6</v>
      </c>
      <c r="J308" t="s">
        <v>2</v>
      </c>
      <c r="K308" s="1">
        <v>1.1302430555555556E-3</v>
      </c>
      <c r="L308">
        <f t="shared" si="4"/>
        <v>16</v>
      </c>
    </row>
    <row r="309" spans="1:12" x14ac:dyDescent="0.3">
      <c r="A309" t="s">
        <v>50</v>
      </c>
      <c r="B309">
        <v>8</v>
      </c>
      <c r="C309">
        <v>14</v>
      </c>
      <c r="D309" t="s">
        <v>25</v>
      </c>
      <c r="E309" t="s">
        <v>26</v>
      </c>
      <c r="F309">
        <v>10</v>
      </c>
      <c r="G309">
        <v>53</v>
      </c>
      <c r="H309">
        <v>74.724999999999994</v>
      </c>
      <c r="I309">
        <v>4</v>
      </c>
      <c r="J309" t="s">
        <v>2</v>
      </c>
      <c r="K309" s="1">
        <v>1.1250347222222224E-3</v>
      </c>
      <c r="L309">
        <f t="shared" si="4"/>
        <v>16</v>
      </c>
    </row>
    <row r="310" spans="1:12" x14ac:dyDescent="0.3">
      <c r="A310" t="s">
        <v>50</v>
      </c>
      <c r="B310">
        <v>9</v>
      </c>
      <c r="C310">
        <v>31</v>
      </c>
      <c r="D310" t="s">
        <v>39</v>
      </c>
      <c r="E310" t="s">
        <v>40</v>
      </c>
      <c r="F310">
        <v>14</v>
      </c>
      <c r="G310">
        <v>53</v>
      </c>
      <c r="H310">
        <v>79.677999999999997</v>
      </c>
      <c r="I310">
        <v>2</v>
      </c>
      <c r="J310" t="s">
        <v>2</v>
      </c>
      <c r="K310" s="1">
        <v>1.1272916666666666E-3</v>
      </c>
      <c r="L310">
        <f t="shared" si="4"/>
        <v>16</v>
      </c>
    </row>
    <row r="311" spans="1:12" x14ac:dyDescent="0.3">
      <c r="A311" t="s">
        <v>50</v>
      </c>
      <c r="B311">
        <v>10</v>
      </c>
      <c r="C311">
        <v>10</v>
      </c>
      <c r="D311" t="s">
        <v>41</v>
      </c>
      <c r="E311" t="s">
        <v>40</v>
      </c>
      <c r="F311">
        <v>12</v>
      </c>
      <c r="G311">
        <v>53</v>
      </c>
      <c r="H311">
        <v>83.155000000000001</v>
      </c>
      <c r="I311">
        <v>1</v>
      </c>
      <c r="J311" t="s">
        <v>2</v>
      </c>
      <c r="K311" s="1">
        <v>1.1154050925925927E-3</v>
      </c>
      <c r="L311">
        <f t="shared" si="4"/>
        <v>16</v>
      </c>
    </row>
    <row r="312" spans="1:12" x14ac:dyDescent="0.3">
      <c r="A312" t="s">
        <v>50</v>
      </c>
      <c r="B312">
        <v>11</v>
      </c>
      <c r="C312">
        <v>40</v>
      </c>
      <c r="D312" t="s">
        <v>70</v>
      </c>
      <c r="E312" t="s">
        <v>91</v>
      </c>
      <c r="F312">
        <v>11</v>
      </c>
      <c r="G312">
        <v>52</v>
      </c>
      <c r="H312" t="s">
        <v>30</v>
      </c>
      <c r="I312">
        <v>0</v>
      </c>
      <c r="J312" t="s">
        <v>2</v>
      </c>
      <c r="K312" s="1">
        <v>1.137349537037037E-3</v>
      </c>
      <c r="L312">
        <f t="shared" si="4"/>
        <v>16</v>
      </c>
    </row>
    <row r="313" spans="1:12" x14ac:dyDescent="0.3">
      <c r="A313" t="s">
        <v>50</v>
      </c>
      <c r="B313">
        <v>12</v>
      </c>
      <c r="C313">
        <v>22</v>
      </c>
      <c r="D313" t="s">
        <v>35</v>
      </c>
      <c r="E313" t="s">
        <v>91</v>
      </c>
      <c r="F313">
        <v>9</v>
      </c>
      <c r="G313">
        <v>52</v>
      </c>
      <c r="H313" t="s">
        <v>30</v>
      </c>
      <c r="I313">
        <v>0</v>
      </c>
      <c r="J313" t="s">
        <v>2</v>
      </c>
      <c r="K313" s="1">
        <v>1.1315740740740741E-3</v>
      </c>
      <c r="L313">
        <f t="shared" si="4"/>
        <v>16</v>
      </c>
    </row>
    <row r="314" spans="1:12" x14ac:dyDescent="0.3">
      <c r="A314" t="s">
        <v>50</v>
      </c>
      <c r="B314">
        <v>13</v>
      </c>
      <c r="C314">
        <v>24</v>
      </c>
      <c r="D314" t="s">
        <v>28</v>
      </c>
      <c r="E314" t="s">
        <v>90</v>
      </c>
      <c r="F314">
        <v>19</v>
      </c>
      <c r="G314">
        <v>52</v>
      </c>
      <c r="H314" t="s">
        <v>30</v>
      </c>
      <c r="I314">
        <v>0</v>
      </c>
      <c r="J314" t="s">
        <v>2</v>
      </c>
      <c r="K314" s="1">
        <v>1.1318402777777778E-3</v>
      </c>
      <c r="L314">
        <f t="shared" si="4"/>
        <v>16</v>
      </c>
    </row>
    <row r="315" spans="1:12" x14ac:dyDescent="0.3">
      <c r="A315" t="s">
        <v>50</v>
      </c>
      <c r="B315">
        <v>14</v>
      </c>
      <c r="C315">
        <v>27</v>
      </c>
      <c r="D315" t="s">
        <v>38</v>
      </c>
      <c r="E315" t="s">
        <v>32</v>
      </c>
      <c r="F315">
        <v>18</v>
      </c>
      <c r="G315">
        <v>52</v>
      </c>
      <c r="H315" t="s">
        <v>30</v>
      </c>
      <c r="I315">
        <v>0</v>
      </c>
      <c r="J315" t="s">
        <v>2</v>
      </c>
      <c r="K315" s="1">
        <v>1.1255787037037037E-3</v>
      </c>
      <c r="L315">
        <f t="shared" si="4"/>
        <v>16</v>
      </c>
    </row>
    <row r="316" spans="1:12" x14ac:dyDescent="0.3">
      <c r="A316" t="s">
        <v>50</v>
      </c>
      <c r="B316">
        <v>15</v>
      </c>
      <c r="C316">
        <v>20</v>
      </c>
      <c r="D316" t="s">
        <v>31</v>
      </c>
      <c r="E316" t="s">
        <v>32</v>
      </c>
      <c r="F316">
        <v>15</v>
      </c>
      <c r="G316">
        <v>52</v>
      </c>
      <c r="H316" t="s">
        <v>30</v>
      </c>
      <c r="I316">
        <v>0</v>
      </c>
      <c r="J316" t="s">
        <v>2</v>
      </c>
      <c r="K316" s="1">
        <v>1.1324305555555556E-3</v>
      </c>
      <c r="L316">
        <f t="shared" si="4"/>
        <v>16</v>
      </c>
    </row>
    <row r="317" spans="1:12" x14ac:dyDescent="0.3">
      <c r="A317" t="s">
        <v>50</v>
      </c>
      <c r="B317" t="s">
        <v>47</v>
      </c>
      <c r="C317">
        <v>23</v>
      </c>
      <c r="D317" t="s">
        <v>36</v>
      </c>
      <c r="E317" t="s">
        <v>37</v>
      </c>
      <c r="F317">
        <v>13</v>
      </c>
      <c r="G317">
        <v>26</v>
      </c>
      <c r="H317" t="s">
        <v>48</v>
      </c>
      <c r="I317">
        <v>0</v>
      </c>
      <c r="J317" t="s">
        <v>2</v>
      </c>
      <c r="K317" s="1">
        <v>1.147974537037037E-3</v>
      </c>
      <c r="L317">
        <f t="shared" si="4"/>
        <v>16</v>
      </c>
    </row>
    <row r="318" spans="1:12" x14ac:dyDescent="0.3">
      <c r="A318" t="s">
        <v>50</v>
      </c>
      <c r="B318" t="s">
        <v>47</v>
      </c>
      <c r="C318">
        <v>2</v>
      </c>
      <c r="D318" t="s">
        <v>43</v>
      </c>
      <c r="E318" t="s">
        <v>37</v>
      </c>
      <c r="F318">
        <v>20</v>
      </c>
      <c r="G318">
        <v>22</v>
      </c>
      <c r="H318" t="s">
        <v>48</v>
      </c>
      <c r="I318">
        <v>0</v>
      </c>
      <c r="J318" t="s">
        <v>2</v>
      </c>
      <c r="K318" s="1">
        <v>1.144074074074074E-3</v>
      </c>
      <c r="L318">
        <f t="shared" si="4"/>
        <v>16</v>
      </c>
    </row>
    <row r="319" spans="1:12" x14ac:dyDescent="0.3">
      <c r="A319" t="s">
        <v>50</v>
      </c>
      <c r="B319" t="s">
        <v>47</v>
      </c>
      <c r="C319">
        <v>18</v>
      </c>
      <c r="D319" t="s">
        <v>27</v>
      </c>
      <c r="E319" t="s">
        <v>26</v>
      </c>
      <c r="F319">
        <v>17</v>
      </c>
      <c r="G319">
        <v>20</v>
      </c>
      <c r="H319" t="s">
        <v>48</v>
      </c>
      <c r="I319">
        <v>0</v>
      </c>
      <c r="J319" t="s">
        <v>2</v>
      </c>
      <c r="K319" s="1">
        <v>1.1464120370370369E-3</v>
      </c>
      <c r="L319">
        <f t="shared" si="4"/>
        <v>16</v>
      </c>
    </row>
    <row r="320" spans="1:12" x14ac:dyDescent="0.3">
      <c r="A320" t="s">
        <v>50</v>
      </c>
      <c r="B320" t="s">
        <v>47</v>
      </c>
      <c r="C320">
        <v>11</v>
      </c>
      <c r="D320" t="s">
        <v>15</v>
      </c>
      <c r="E320" t="s">
        <v>13</v>
      </c>
      <c r="F320">
        <v>5</v>
      </c>
      <c r="G320">
        <v>15</v>
      </c>
      <c r="H320" t="s">
        <v>48</v>
      </c>
      <c r="I320">
        <v>0</v>
      </c>
      <c r="J320" t="s">
        <v>2</v>
      </c>
      <c r="K320" s="1">
        <v>1.1539814814814815E-3</v>
      </c>
      <c r="L320">
        <f t="shared" si="4"/>
        <v>16</v>
      </c>
    </row>
    <row r="321" spans="1:12" x14ac:dyDescent="0.3">
      <c r="A321" t="s">
        <v>50</v>
      </c>
      <c r="B321" t="s">
        <v>47</v>
      </c>
      <c r="C321">
        <v>77</v>
      </c>
      <c r="D321" t="s">
        <v>42</v>
      </c>
      <c r="E321" t="s">
        <v>90</v>
      </c>
      <c r="F321">
        <v>16</v>
      </c>
      <c r="G321">
        <v>7</v>
      </c>
      <c r="H321" t="s">
        <v>48</v>
      </c>
      <c r="I321">
        <v>0</v>
      </c>
      <c r="J321" t="s">
        <v>2</v>
      </c>
      <c r="K321" s="1">
        <v>1.4207754629629629E-3</v>
      </c>
      <c r="L321">
        <f t="shared" si="4"/>
        <v>16</v>
      </c>
    </row>
    <row r="322" spans="1:12" x14ac:dyDescent="0.3">
      <c r="A322" t="s">
        <v>75</v>
      </c>
      <c r="B322">
        <v>1</v>
      </c>
      <c r="C322">
        <v>1</v>
      </c>
      <c r="D322" t="s">
        <v>12</v>
      </c>
      <c r="E322" t="s">
        <v>13</v>
      </c>
      <c r="F322">
        <v>1</v>
      </c>
      <c r="G322">
        <v>57</v>
      </c>
      <c r="H322" s="1">
        <v>6.0869999999999994E-2</v>
      </c>
      <c r="I322">
        <v>26</v>
      </c>
      <c r="J322" t="s">
        <v>14</v>
      </c>
      <c r="K322" s="1">
        <v>9.7591435185185183E-4</v>
      </c>
      <c r="L322">
        <f t="shared" si="4"/>
        <v>17</v>
      </c>
    </row>
    <row r="323" spans="1:12" x14ac:dyDescent="0.3">
      <c r="A323" t="s">
        <v>75</v>
      </c>
      <c r="B323">
        <v>2</v>
      </c>
      <c r="C323">
        <v>81</v>
      </c>
      <c r="D323" t="s">
        <v>24</v>
      </c>
      <c r="E323" t="s">
        <v>22</v>
      </c>
      <c r="F323">
        <v>6</v>
      </c>
      <c r="G323">
        <v>57</v>
      </c>
      <c r="H323">
        <v>4.8330000000000002</v>
      </c>
      <c r="I323">
        <v>18</v>
      </c>
      <c r="J323" t="s">
        <v>2</v>
      </c>
      <c r="K323" s="1">
        <v>9.8288194444444443E-4</v>
      </c>
      <c r="L323">
        <f t="shared" si="4"/>
        <v>17</v>
      </c>
    </row>
    <row r="324" spans="1:12" x14ac:dyDescent="0.3">
      <c r="A324" t="s">
        <v>75</v>
      </c>
      <c r="B324">
        <v>3</v>
      </c>
      <c r="C324">
        <v>4</v>
      </c>
      <c r="D324" t="s">
        <v>21</v>
      </c>
      <c r="E324" t="s">
        <v>22</v>
      </c>
      <c r="F324">
        <v>10</v>
      </c>
      <c r="G324">
        <v>57</v>
      </c>
      <c r="H324">
        <v>5.9690000000000003</v>
      </c>
      <c r="I324">
        <v>15</v>
      </c>
      <c r="J324" t="s">
        <v>2</v>
      </c>
      <c r="K324" s="1">
        <v>9.8196759259259266E-4</v>
      </c>
      <c r="L324">
        <f t="shared" si="4"/>
        <v>17</v>
      </c>
    </row>
    <row r="325" spans="1:12" x14ac:dyDescent="0.3">
      <c r="A325" t="s">
        <v>75</v>
      </c>
      <c r="B325">
        <v>4</v>
      </c>
      <c r="C325">
        <v>63</v>
      </c>
      <c r="D325" t="s">
        <v>19</v>
      </c>
      <c r="E325" t="s">
        <v>20</v>
      </c>
      <c r="F325">
        <v>2</v>
      </c>
      <c r="G325">
        <v>57</v>
      </c>
      <c r="H325">
        <v>34.119</v>
      </c>
      <c r="I325">
        <v>12</v>
      </c>
      <c r="J325" t="s">
        <v>2</v>
      </c>
      <c r="K325" s="1">
        <v>9.9270833333333329E-4</v>
      </c>
      <c r="L325">
        <f t="shared" si="4"/>
        <v>17</v>
      </c>
    </row>
    <row r="326" spans="1:12" x14ac:dyDescent="0.3">
      <c r="A326" t="s">
        <v>75</v>
      </c>
      <c r="B326">
        <v>5</v>
      </c>
      <c r="C326">
        <v>16</v>
      </c>
      <c r="D326" t="s">
        <v>18</v>
      </c>
      <c r="E326" t="s">
        <v>17</v>
      </c>
      <c r="F326">
        <v>5</v>
      </c>
      <c r="G326">
        <v>57</v>
      </c>
      <c r="H326">
        <v>38.975999999999999</v>
      </c>
      <c r="I326">
        <v>10</v>
      </c>
      <c r="J326" t="s">
        <v>2</v>
      </c>
      <c r="K326" s="1">
        <v>9.8370370370370365E-4</v>
      </c>
      <c r="L326">
        <f t="shared" si="4"/>
        <v>17</v>
      </c>
    </row>
    <row r="327" spans="1:12" x14ac:dyDescent="0.3">
      <c r="A327" t="s">
        <v>75</v>
      </c>
      <c r="B327">
        <v>6</v>
      </c>
      <c r="C327">
        <v>14</v>
      </c>
      <c r="D327" t="s">
        <v>25</v>
      </c>
      <c r="E327" t="s">
        <v>26</v>
      </c>
      <c r="F327">
        <v>4</v>
      </c>
      <c r="G327">
        <v>57</v>
      </c>
      <c r="H327">
        <v>49.031999999999996</v>
      </c>
      <c r="I327">
        <v>8</v>
      </c>
      <c r="J327" t="s">
        <v>2</v>
      </c>
      <c r="K327" s="1">
        <v>9.958912037037037E-4</v>
      </c>
      <c r="L327">
        <f t="shared" si="4"/>
        <v>17</v>
      </c>
    </row>
    <row r="328" spans="1:12" x14ac:dyDescent="0.3">
      <c r="A328" t="s">
        <v>75</v>
      </c>
      <c r="B328">
        <v>7</v>
      </c>
      <c r="C328">
        <v>31</v>
      </c>
      <c r="D328" t="s">
        <v>39</v>
      </c>
      <c r="E328" t="s">
        <v>40</v>
      </c>
      <c r="F328">
        <v>8</v>
      </c>
      <c r="G328">
        <v>57</v>
      </c>
      <c r="H328">
        <v>62.39</v>
      </c>
      <c r="I328">
        <v>6</v>
      </c>
      <c r="J328" t="s">
        <v>2</v>
      </c>
      <c r="K328" s="1">
        <v>1.0005787037037038E-3</v>
      </c>
      <c r="L328">
        <f t="shared" si="4"/>
        <v>17</v>
      </c>
    </row>
    <row r="329" spans="1:12" x14ac:dyDescent="0.3">
      <c r="A329" t="s">
        <v>75</v>
      </c>
      <c r="B329">
        <v>8</v>
      </c>
      <c r="C329">
        <v>77</v>
      </c>
      <c r="D329" t="s">
        <v>42</v>
      </c>
      <c r="E329" t="s">
        <v>90</v>
      </c>
      <c r="F329">
        <v>9</v>
      </c>
      <c r="G329">
        <v>57</v>
      </c>
      <c r="H329">
        <v>66.563000000000002</v>
      </c>
      <c r="I329">
        <v>4</v>
      </c>
      <c r="J329" t="s">
        <v>2</v>
      </c>
      <c r="K329" s="1">
        <v>1.0029166666666667E-3</v>
      </c>
      <c r="L329">
        <f t="shared" si="4"/>
        <v>17</v>
      </c>
    </row>
    <row r="330" spans="1:12" x14ac:dyDescent="0.3">
      <c r="A330" t="s">
        <v>75</v>
      </c>
      <c r="B330">
        <v>9</v>
      </c>
      <c r="C330">
        <v>24</v>
      </c>
      <c r="D330" t="s">
        <v>28</v>
      </c>
      <c r="E330" t="s">
        <v>90</v>
      </c>
      <c r="F330">
        <v>19</v>
      </c>
      <c r="G330">
        <v>57</v>
      </c>
      <c r="H330">
        <v>76.126999999999995</v>
      </c>
      <c r="I330">
        <v>2</v>
      </c>
      <c r="J330" t="s">
        <v>2</v>
      </c>
      <c r="K330" s="1">
        <v>9.9910879629629633E-4</v>
      </c>
      <c r="L330">
        <f t="shared" si="4"/>
        <v>17</v>
      </c>
    </row>
    <row r="331" spans="1:12" x14ac:dyDescent="0.3">
      <c r="A331" t="s">
        <v>75</v>
      </c>
      <c r="B331">
        <v>10</v>
      </c>
      <c r="C331">
        <v>11</v>
      </c>
      <c r="D331" t="s">
        <v>15</v>
      </c>
      <c r="E331" t="s">
        <v>13</v>
      </c>
      <c r="F331">
        <v>20</v>
      </c>
      <c r="G331">
        <v>57</v>
      </c>
      <c r="H331">
        <v>80.180999999999997</v>
      </c>
      <c r="I331">
        <v>1</v>
      </c>
      <c r="J331" t="s">
        <v>2</v>
      </c>
      <c r="K331" s="1">
        <v>9.979166666666667E-4</v>
      </c>
      <c r="L331">
        <f t="shared" si="4"/>
        <v>17</v>
      </c>
    </row>
    <row r="332" spans="1:12" x14ac:dyDescent="0.3">
      <c r="A332" t="s">
        <v>75</v>
      </c>
      <c r="B332">
        <v>11</v>
      </c>
      <c r="C332">
        <v>18</v>
      </c>
      <c r="D332" t="s">
        <v>27</v>
      </c>
      <c r="E332" t="s">
        <v>26</v>
      </c>
      <c r="F332">
        <v>16</v>
      </c>
      <c r="G332">
        <v>57</v>
      </c>
      <c r="H332">
        <v>81.652000000000001</v>
      </c>
      <c r="I332">
        <v>0</v>
      </c>
      <c r="J332" t="s">
        <v>2</v>
      </c>
      <c r="K332" s="1">
        <v>9.9944444444444451E-4</v>
      </c>
      <c r="L332">
        <f t="shared" si="4"/>
        <v>17</v>
      </c>
    </row>
    <row r="333" spans="1:12" x14ac:dyDescent="0.3">
      <c r="A333" t="s">
        <v>75</v>
      </c>
      <c r="B333">
        <v>12</v>
      </c>
      <c r="C333">
        <v>10</v>
      </c>
      <c r="D333" t="s">
        <v>41</v>
      </c>
      <c r="E333" t="s">
        <v>40</v>
      </c>
      <c r="F333">
        <v>7</v>
      </c>
      <c r="G333">
        <v>57</v>
      </c>
      <c r="H333">
        <v>82.3</v>
      </c>
      <c r="I333">
        <v>0</v>
      </c>
      <c r="J333" t="s">
        <v>2</v>
      </c>
      <c r="K333" s="1">
        <v>9.9895833333333325E-4</v>
      </c>
      <c r="L333">
        <f t="shared" si="4"/>
        <v>17</v>
      </c>
    </row>
    <row r="334" spans="1:12" x14ac:dyDescent="0.3">
      <c r="A334" t="s">
        <v>75</v>
      </c>
      <c r="B334">
        <v>13</v>
      </c>
      <c r="C334">
        <v>23</v>
      </c>
      <c r="D334" t="s">
        <v>36</v>
      </c>
      <c r="E334" t="s">
        <v>37</v>
      </c>
      <c r="F334">
        <v>13</v>
      </c>
      <c r="G334">
        <v>57</v>
      </c>
      <c r="H334">
        <v>91.013999999999996</v>
      </c>
      <c r="I334">
        <v>0</v>
      </c>
      <c r="J334" t="s">
        <v>2</v>
      </c>
      <c r="K334" s="1">
        <v>1.0030787037037037E-3</v>
      </c>
      <c r="L334">
        <f t="shared" si="4"/>
        <v>17</v>
      </c>
    </row>
    <row r="335" spans="1:12" x14ac:dyDescent="0.3">
      <c r="A335" t="s">
        <v>75</v>
      </c>
      <c r="B335">
        <v>14</v>
      </c>
      <c r="C335">
        <v>20</v>
      </c>
      <c r="D335" t="s">
        <v>31</v>
      </c>
      <c r="E335" t="s">
        <v>32</v>
      </c>
      <c r="F335">
        <v>18</v>
      </c>
      <c r="G335">
        <v>56</v>
      </c>
      <c r="H335" t="s">
        <v>30</v>
      </c>
      <c r="I335">
        <v>0</v>
      </c>
      <c r="J335" t="s">
        <v>2</v>
      </c>
      <c r="K335" s="1">
        <v>1.0077199074074075E-3</v>
      </c>
      <c r="L335">
        <f t="shared" si="4"/>
        <v>17</v>
      </c>
    </row>
    <row r="336" spans="1:12" x14ac:dyDescent="0.3">
      <c r="A336" t="s">
        <v>75</v>
      </c>
      <c r="B336">
        <v>15</v>
      </c>
      <c r="C336">
        <v>22</v>
      </c>
      <c r="D336" t="s">
        <v>35</v>
      </c>
      <c r="E336" t="s">
        <v>91</v>
      </c>
      <c r="F336">
        <v>11</v>
      </c>
      <c r="G336">
        <v>56</v>
      </c>
      <c r="H336" t="s">
        <v>30</v>
      </c>
      <c r="I336">
        <v>0</v>
      </c>
      <c r="J336" t="s">
        <v>2</v>
      </c>
      <c r="K336" s="1">
        <v>1.0089583333333335E-3</v>
      </c>
      <c r="L336">
        <f t="shared" si="4"/>
        <v>17</v>
      </c>
    </row>
    <row r="337" spans="1:12" x14ac:dyDescent="0.3">
      <c r="A337" t="s">
        <v>75</v>
      </c>
      <c r="B337">
        <v>16</v>
      </c>
      <c r="C337">
        <v>27</v>
      </c>
      <c r="D337" t="s">
        <v>38</v>
      </c>
      <c r="E337" t="s">
        <v>32</v>
      </c>
      <c r="F337">
        <v>14</v>
      </c>
      <c r="G337">
        <v>56</v>
      </c>
      <c r="H337" t="s">
        <v>30</v>
      </c>
      <c r="I337">
        <v>0</v>
      </c>
      <c r="J337" t="s">
        <v>2</v>
      </c>
      <c r="K337" s="1">
        <v>1.0011458333333333E-3</v>
      </c>
      <c r="L337">
        <f t="shared" si="4"/>
        <v>17</v>
      </c>
    </row>
    <row r="338" spans="1:12" x14ac:dyDescent="0.3">
      <c r="A338" t="s">
        <v>75</v>
      </c>
      <c r="B338">
        <v>17</v>
      </c>
      <c r="C338">
        <v>40</v>
      </c>
      <c r="D338" t="s">
        <v>70</v>
      </c>
      <c r="E338" t="s">
        <v>91</v>
      </c>
      <c r="F338">
        <v>17</v>
      </c>
      <c r="G338">
        <v>56</v>
      </c>
      <c r="H338" t="s">
        <v>30</v>
      </c>
      <c r="I338">
        <v>0</v>
      </c>
      <c r="J338" t="s">
        <v>2</v>
      </c>
      <c r="K338" s="1">
        <v>1.0082523148148149E-3</v>
      </c>
      <c r="L338">
        <f t="shared" si="4"/>
        <v>17</v>
      </c>
    </row>
    <row r="339" spans="1:12" x14ac:dyDescent="0.3">
      <c r="A339" t="s">
        <v>75</v>
      </c>
      <c r="B339" t="s">
        <v>47</v>
      </c>
      <c r="C339">
        <v>2</v>
      </c>
      <c r="D339" t="s">
        <v>43</v>
      </c>
      <c r="E339" t="s">
        <v>37</v>
      </c>
      <c r="F339">
        <v>15</v>
      </c>
      <c r="G339">
        <v>40</v>
      </c>
      <c r="H339" t="s">
        <v>48</v>
      </c>
      <c r="I339">
        <v>0</v>
      </c>
      <c r="J339" t="s">
        <v>2</v>
      </c>
      <c r="K339" s="1">
        <v>1.0183217592592594E-3</v>
      </c>
      <c r="L339">
        <f t="shared" si="4"/>
        <v>17</v>
      </c>
    </row>
    <row r="340" spans="1:12" x14ac:dyDescent="0.3">
      <c r="A340" t="s">
        <v>75</v>
      </c>
      <c r="B340" t="s">
        <v>47</v>
      </c>
      <c r="C340">
        <v>44</v>
      </c>
      <c r="D340" t="s">
        <v>23</v>
      </c>
      <c r="E340" t="s">
        <v>20</v>
      </c>
      <c r="F340">
        <v>3</v>
      </c>
      <c r="G340">
        <v>0</v>
      </c>
      <c r="H340" t="s">
        <v>48</v>
      </c>
      <c r="I340">
        <v>0</v>
      </c>
      <c r="J340" t="s">
        <v>2</v>
      </c>
      <c r="L340">
        <f t="shared" si="4"/>
        <v>17</v>
      </c>
    </row>
    <row r="341" spans="1:12" x14ac:dyDescent="0.3">
      <c r="A341" t="s">
        <v>75</v>
      </c>
      <c r="B341" t="s">
        <v>47</v>
      </c>
      <c r="C341">
        <v>55</v>
      </c>
      <c r="D341" t="s">
        <v>16</v>
      </c>
      <c r="E341" t="s">
        <v>17</v>
      </c>
      <c r="F341">
        <v>12</v>
      </c>
      <c r="G341">
        <v>0</v>
      </c>
      <c r="H341" t="s">
        <v>60</v>
      </c>
      <c r="I341">
        <v>0</v>
      </c>
      <c r="J341" t="s">
        <v>2</v>
      </c>
      <c r="L341">
        <f t="shared" si="4"/>
        <v>17</v>
      </c>
    </row>
    <row r="342" spans="1:12" x14ac:dyDescent="0.3">
      <c r="A342" t="s">
        <v>69</v>
      </c>
      <c r="B342">
        <v>1</v>
      </c>
      <c r="C342">
        <v>1</v>
      </c>
      <c r="D342" t="s">
        <v>12</v>
      </c>
      <c r="E342" t="s">
        <v>13</v>
      </c>
      <c r="F342">
        <v>6</v>
      </c>
      <c r="G342">
        <v>56</v>
      </c>
      <c r="H342" s="1">
        <v>6.621946759259259E-2</v>
      </c>
      <c r="I342">
        <v>25</v>
      </c>
      <c r="J342" t="s">
        <v>2</v>
      </c>
      <c r="K342" s="1">
        <v>1.1577314814814814E-3</v>
      </c>
      <c r="L342">
        <f t="shared" si="4"/>
        <v>18</v>
      </c>
    </row>
    <row r="343" spans="1:12" x14ac:dyDescent="0.3">
      <c r="A343" t="s">
        <v>69</v>
      </c>
      <c r="B343" t="s">
        <v>63</v>
      </c>
      <c r="C343">
        <v>44</v>
      </c>
      <c r="D343" t="s">
        <v>23</v>
      </c>
      <c r="E343" t="s">
        <v>20</v>
      </c>
      <c r="F343">
        <v>3</v>
      </c>
      <c r="G343">
        <v>56</v>
      </c>
      <c r="H343">
        <v>2.2250000000000001</v>
      </c>
      <c r="I343">
        <v>0</v>
      </c>
      <c r="J343" t="s">
        <v>2</v>
      </c>
      <c r="K343" s="1">
        <v>1.1525694444444443E-3</v>
      </c>
      <c r="L343">
        <f t="shared" ref="L343:L406" si="5">L323+1</f>
        <v>18</v>
      </c>
    </row>
    <row r="344" spans="1:12" x14ac:dyDescent="0.3">
      <c r="A344" t="s">
        <v>69</v>
      </c>
      <c r="B344">
        <v>2</v>
      </c>
      <c r="C344">
        <v>4</v>
      </c>
      <c r="D344" t="s">
        <v>21</v>
      </c>
      <c r="E344" t="s">
        <v>22</v>
      </c>
      <c r="F344">
        <v>2</v>
      </c>
      <c r="G344">
        <v>56</v>
      </c>
      <c r="H344">
        <v>10.73</v>
      </c>
      <c r="I344">
        <v>18</v>
      </c>
      <c r="J344" t="s">
        <v>2</v>
      </c>
      <c r="K344" s="1">
        <v>1.1572337962962964E-3</v>
      </c>
      <c r="L344">
        <f t="shared" si="5"/>
        <v>18</v>
      </c>
    </row>
    <row r="345" spans="1:12" x14ac:dyDescent="0.3">
      <c r="A345" t="s">
        <v>69</v>
      </c>
      <c r="B345">
        <v>3</v>
      </c>
      <c r="C345">
        <v>55</v>
      </c>
      <c r="D345" t="s">
        <v>16</v>
      </c>
      <c r="E345" t="s">
        <v>17</v>
      </c>
      <c r="F345">
        <v>4</v>
      </c>
      <c r="G345">
        <v>56</v>
      </c>
      <c r="H345">
        <v>15.134</v>
      </c>
      <c r="I345">
        <v>15</v>
      </c>
      <c r="J345" t="s">
        <v>2</v>
      </c>
      <c r="K345" s="1">
        <v>1.1578009259259258E-3</v>
      </c>
      <c r="L345">
        <f t="shared" si="5"/>
        <v>18</v>
      </c>
    </row>
    <row r="346" spans="1:12" x14ac:dyDescent="0.3">
      <c r="A346" t="s">
        <v>69</v>
      </c>
      <c r="B346">
        <v>4</v>
      </c>
      <c r="C346">
        <v>11</v>
      </c>
      <c r="D346" t="s">
        <v>15</v>
      </c>
      <c r="E346" t="s">
        <v>13</v>
      </c>
      <c r="F346">
        <v>9</v>
      </c>
      <c r="G346">
        <v>56</v>
      </c>
      <c r="H346">
        <v>18.46</v>
      </c>
      <c r="I346">
        <v>12</v>
      </c>
      <c r="J346" t="s">
        <v>2</v>
      </c>
      <c r="K346" s="1">
        <v>1.1543634259259259E-3</v>
      </c>
      <c r="L346">
        <f t="shared" si="5"/>
        <v>18</v>
      </c>
    </row>
    <row r="347" spans="1:12" x14ac:dyDescent="0.3">
      <c r="A347" t="s">
        <v>69</v>
      </c>
      <c r="B347" t="s">
        <v>63</v>
      </c>
      <c r="C347">
        <v>16</v>
      </c>
      <c r="D347" t="s">
        <v>18</v>
      </c>
      <c r="E347" t="s">
        <v>17</v>
      </c>
      <c r="F347">
        <v>1</v>
      </c>
      <c r="G347">
        <v>56</v>
      </c>
      <c r="H347">
        <v>24.661999999999999</v>
      </c>
      <c r="I347">
        <v>0</v>
      </c>
      <c r="J347" t="s">
        <v>2</v>
      </c>
      <c r="K347" s="1">
        <v>1.1692708333333334E-3</v>
      </c>
      <c r="L347">
        <f t="shared" si="5"/>
        <v>18</v>
      </c>
    </row>
    <row r="348" spans="1:12" x14ac:dyDescent="0.3">
      <c r="A348" t="s">
        <v>69</v>
      </c>
      <c r="B348">
        <v>5</v>
      </c>
      <c r="C348">
        <v>63</v>
      </c>
      <c r="D348" t="s">
        <v>19</v>
      </c>
      <c r="E348" t="s">
        <v>20</v>
      </c>
      <c r="F348">
        <v>5</v>
      </c>
      <c r="G348">
        <v>56</v>
      </c>
      <c r="H348">
        <v>24.998999999999999</v>
      </c>
      <c r="I348">
        <v>10</v>
      </c>
      <c r="J348" t="s">
        <v>2</v>
      </c>
      <c r="K348" s="1">
        <v>1.1503819444444445E-3</v>
      </c>
      <c r="L348">
        <f t="shared" si="5"/>
        <v>18</v>
      </c>
    </row>
    <row r="349" spans="1:12" x14ac:dyDescent="0.3">
      <c r="A349" t="s">
        <v>69</v>
      </c>
      <c r="B349">
        <v>6</v>
      </c>
      <c r="C349">
        <v>10</v>
      </c>
      <c r="D349" t="s">
        <v>41</v>
      </c>
      <c r="E349" t="s">
        <v>40</v>
      </c>
      <c r="F349">
        <v>7</v>
      </c>
      <c r="G349">
        <v>56</v>
      </c>
      <c r="H349">
        <v>47.996000000000002</v>
      </c>
      <c r="I349">
        <v>8</v>
      </c>
      <c r="J349" t="s">
        <v>2</v>
      </c>
      <c r="K349" s="1">
        <v>1.1621759259259261E-3</v>
      </c>
      <c r="L349">
        <f t="shared" si="5"/>
        <v>18</v>
      </c>
    </row>
    <row r="350" spans="1:12" x14ac:dyDescent="0.3">
      <c r="A350" t="s">
        <v>69</v>
      </c>
      <c r="B350">
        <v>7</v>
      </c>
      <c r="C350">
        <v>18</v>
      </c>
      <c r="D350" t="s">
        <v>27</v>
      </c>
      <c r="E350" t="s">
        <v>26</v>
      </c>
      <c r="F350">
        <v>20</v>
      </c>
      <c r="G350">
        <v>56</v>
      </c>
      <c r="H350">
        <v>48.695999999999998</v>
      </c>
      <c r="I350">
        <v>6</v>
      </c>
      <c r="J350" t="s">
        <v>2</v>
      </c>
      <c r="K350" s="1">
        <v>1.1563425925925927E-3</v>
      </c>
      <c r="L350">
        <f t="shared" si="5"/>
        <v>18</v>
      </c>
    </row>
    <row r="351" spans="1:12" x14ac:dyDescent="0.3">
      <c r="A351" t="s">
        <v>69</v>
      </c>
      <c r="B351">
        <v>8</v>
      </c>
      <c r="C351">
        <v>22</v>
      </c>
      <c r="D351" t="s">
        <v>35</v>
      </c>
      <c r="E351" t="s">
        <v>91</v>
      </c>
      <c r="F351">
        <v>11</v>
      </c>
      <c r="G351">
        <v>56</v>
      </c>
      <c r="H351">
        <v>74.385000000000005</v>
      </c>
      <c r="I351">
        <v>5</v>
      </c>
      <c r="J351" t="s">
        <v>14</v>
      </c>
      <c r="K351" s="1">
        <v>1.1358680555555558E-3</v>
      </c>
      <c r="L351">
        <f t="shared" si="5"/>
        <v>18</v>
      </c>
    </row>
    <row r="352" spans="1:12" x14ac:dyDescent="0.3">
      <c r="A352" t="s">
        <v>69</v>
      </c>
      <c r="B352">
        <v>9</v>
      </c>
      <c r="C352">
        <v>23</v>
      </c>
      <c r="D352" t="s">
        <v>36</v>
      </c>
      <c r="E352" t="s">
        <v>37</v>
      </c>
      <c r="F352">
        <v>15</v>
      </c>
      <c r="G352">
        <v>56</v>
      </c>
      <c r="H352">
        <v>86.713999999999999</v>
      </c>
      <c r="I352">
        <v>2</v>
      </c>
      <c r="J352" t="s">
        <v>2</v>
      </c>
      <c r="K352" s="1">
        <v>1.173275462962963E-3</v>
      </c>
      <c r="L352">
        <f t="shared" si="5"/>
        <v>18</v>
      </c>
    </row>
    <row r="353" spans="1:12" x14ac:dyDescent="0.3">
      <c r="A353" t="s">
        <v>69</v>
      </c>
      <c r="B353">
        <v>10</v>
      </c>
      <c r="C353">
        <v>2</v>
      </c>
      <c r="D353" t="s">
        <v>43</v>
      </c>
      <c r="E353" t="s">
        <v>37</v>
      </c>
      <c r="F353">
        <v>16</v>
      </c>
      <c r="G353">
        <v>56</v>
      </c>
      <c r="H353">
        <v>87.998000000000005</v>
      </c>
      <c r="I353">
        <v>1</v>
      </c>
      <c r="J353" t="s">
        <v>2</v>
      </c>
      <c r="K353" s="1">
        <v>1.171736111111111E-3</v>
      </c>
      <c r="L353">
        <f t="shared" si="5"/>
        <v>18</v>
      </c>
    </row>
    <row r="354" spans="1:12" x14ac:dyDescent="0.3">
      <c r="A354" t="s">
        <v>69</v>
      </c>
      <c r="B354">
        <v>11</v>
      </c>
      <c r="C354">
        <v>27</v>
      </c>
      <c r="D354" t="s">
        <v>38</v>
      </c>
      <c r="E354" t="s">
        <v>32</v>
      </c>
      <c r="F354">
        <v>18</v>
      </c>
      <c r="G354">
        <v>56</v>
      </c>
      <c r="H354">
        <v>89.903999999999996</v>
      </c>
      <c r="I354">
        <v>0</v>
      </c>
      <c r="J354" t="s">
        <v>2</v>
      </c>
      <c r="K354" s="1">
        <v>1.168113425925926E-3</v>
      </c>
      <c r="L354">
        <f t="shared" si="5"/>
        <v>18</v>
      </c>
    </row>
    <row r="355" spans="1:12" x14ac:dyDescent="0.3">
      <c r="A355" t="s">
        <v>69</v>
      </c>
      <c r="B355">
        <v>12</v>
      </c>
      <c r="C355">
        <v>77</v>
      </c>
      <c r="D355" t="s">
        <v>42</v>
      </c>
      <c r="E355" t="s">
        <v>90</v>
      </c>
      <c r="F355">
        <v>13</v>
      </c>
      <c r="G355">
        <v>56</v>
      </c>
      <c r="H355">
        <v>98.600999999999999</v>
      </c>
      <c r="I355">
        <v>0</v>
      </c>
      <c r="J355" t="s">
        <v>2</v>
      </c>
      <c r="K355" s="1">
        <v>1.1802314814814815E-3</v>
      </c>
      <c r="L355">
        <f t="shared" si="5"/>
        <v>18</v>
      </c>
    </row>
    <row r="356" spans="1:12" x14ac:dyDescent="0.3">
      <c r="A356" t="s">
        <v>69</v>
      </c>
      <c r="B356">
        <v>13</v>
      </c>
      <c r="C356">
        <v>24</v>
      </c>
      <c r="D356" t="s">
        <v>28</v>
      </c>
      <c r="E356" t="s">
        <v>90</v>
      </c>
      <c r="F356">
        <v>12</v>
      </c>
      <c r="G356">
        <v>55</v>
      </c>
      <c r="H356" t="s">
        <v>30</v>
      </c>
      <c r="I356">
        <v>0</v>
      </c>
      <c r="J356" t="s">
        <v>2</v>
      </c>
      <c r="K356" s="1">
        <v>1.1791550925925925E-3</v>
      </c>
      <c r="L356">
        <f t="shared" si="5"/>
        <v>18</v>
      </c>
    </row>
    <row r="357" spans="1:12" x14ac:dyDescent="0.3">
      <c r="A357" t="s">
        <v>69</v>
      </c>
      <c r="B357">
        <v>14</v>
      </c>
      <c r="C357">
        <v>20</v>
      </c>
      <c r="D357" t="s">
        <v>31</v>
      </c>
      <c r="E357" t="s">
        <v>32</v>
      </c>
      <c r="F357">
        <v>17</v>
      </c>
      <c r="G357">
        <v>55</v>
      </c>
      <c r="H357" t="s">
        <v>30</v>
      </c>
      <c r="I357">
        <v>0</v>
      </c>
      <c r="J357" t="s">
        <v>2</v>
      </c>
      <c r="K357" s="1">
        <v>1.174837962962963E-3</v>
      </c>
      <c r="L357">
        <f t="shared" si="5"/>
        <v>18</v>
      </c>
    </row>
    <row r="358" spans="1:12" x14ac:dyDescent="0.3">
      <c r="A358" t="s">
        <v>69</v>
      </c>
      <c r="B358">
        <v>15</v>
      </c>
      <c r="C358">
        <v>3</v>
      </c>
      <c r="D358" t="s">
        <v>33</v>
      </c>
      <c r="E358" t="s">
        <v>91</v>
      </c>
      <c r="F358">
        <v>14</v>
      </c>
      <c r="G358">
        <v>55</v>
      </c>
      <c r="H358" t="s">
        <v>30</v>
      </c>
      <c r="I358">
        <v>0</v>
      </c>
      <c r="J358" t="s">
        <v>2</v>
      </c>
      <c r="K358" s="1">
        <v>1.1500694444444444E-3</v>
      </c>
      <c r="L358">
        <f t="shared" si="5"/>
        <v>18</v>
      </c>
    </row>
    <row r="359" spans="1:12" x14ac:dyDescent="0.3">
      <c r="A359" t="s">
        <v>69</v>
      </c>
      <c r="B359" t="s">
        <v>47</v>
      </c>
      <c r="C359">
        <v>14</v>
      </c>
      <c r="D359" t="s">
        <v>25</v>
      </c>
      <c r="E359" t="s">
        <v>26</v>
      </c>
      <c r="F359">
        <v>19</v>
      </c>
      <c r="G359">
        <v>49</v>
      </c>
      <c r="H359" t="s">
        <v>48</v>
      </c>
      <c r="I359">
        <v>0</v>
      </c>
      <c r="J359" t="s">
        <v>2</v>
      </c>
      <c r="K359" s="1">
        <v>1.1568750000000001E-3</v>
      </c>
      <c r="L359">
        <f t="shared" si="5"/>
        <v>18</v>
      </c>
    </row>
    <row r="360" spans="1:12" x14ac:dyDescent="0.3">
      <c r="A360" t="s">
        <v>69</v>
      </c>
      <c r="B360" t="s">
        <v>47</v>
      </c>
      <c r="C360">
        <v>81</v>
      </c>
      <c r="D360" t="s">
        <v>24</v>
      </c>
      <c r="E360" t="s">
        <v>22</v>
      </c>
      <c r="F360">
        <v>10</v>
      </c>
      <c r="G360">
        <v>10</v>
      </c>
      <c r="H360" t="s">
        <v>48</v>
      </c>
      <c r="I360">
        <v>0</v>
      </c>
      <c r="J360" t="s">
        <v>2</v>
      </c>
      <c r="K360" s="1">
        <v>1.1887152777777777E-3</v>
      </c>
      <c r="L360">
        <f t="shared" si="5"/>
        <v>18</v>
      </c>
    </row>
    <row r="361" spans="1:12" x14ac:dyDescent="0.3">
      <c r="A361" t="s">
        <v>69</v>
      </c>
      <c r="B361" t="s">
        <v>47</v>
      </c>
      <c r="C361">
        <v>31</v>
      </c>
      <c r="D361" t="s">
        <v>39</v>
      </c>
      <c r="E361" t="s">
        <v>40</v>
      </c>
      <c r="F361">
        <v>8</v>
      </c>
      <c r="G361">
        <v>6</v>
      </c>
      <c r="H361" t="s">
        <v>48</v>
      </c>
      <c r="I361">
        <v>0</v>
      </c>
      <c r="J361" t="s">
        <v>2</v>
      </c>
      <c r="K361" s="1">
        <v>1.2128356481481482E-3</v>
      </c>
      <c r="L361">
        <f t="shared" si="5"/>
        <v>18</v>
      </c>
    </row>
    <row r="362" spans="1:12" x14ac:dyDescent="0.3">
      <c r="A362" t="s">
        <v>71</v>
      </c>
      <c r="B362">
        <v>1</v>
      </c>
      <c r="C362">
        <v>1</v>
      </c>
      <c r="D362" t="s">
        <v>12</v>
      </c>
      <c r="E362" t="s">
        <v>13</v>
      </c>
      <c r="F362">
        <v>3</v>
      </c>
      <c r="G362">
        <v>71</v>
      </c>
      <c r="H362" s="1">
        <v>8.507886574074075E-2</v>
      </c>
      <c r="I362">
        <v>25</v>
      </c>
      <c r="J362" t="s">
        <v>2</v>
      </c>
      <c r="K362" s="1">
        <v>9.4495370370370382E-4</v>
      </c>
      <c r="L362">
        <f t="shared" si="5"/>
        <v>19</v>
      </c>
    </row>
    <row r="363" spans="1:12" x14ac:dyDescent="0.3">
      <c r="A363" t="s">
        <v>71</v>
      </c>
      <c r="B363">
        <v>2</v>
      </c>
      <c r="C363">
        <v>44</v>
      </c>
      <c r="D363" t="s">
        <v>23</v>
      </c>
      <c r="E363" t="s">
        <v>20</v>
      </c>
      <c r="F363">
        <v>6</v>
      </c>
      <c r="G363">
        <v>71</v>
      </c>
      <c r="H363">
        <v>13.875</v>
      </c>
      <c r="I363">
        <v>19</v>
      </c>
      <c r="J363" t="s">
        <v>14</v>
      </c>
      <c r="K363" s="1">
        <v>9.4136574074074077E-4</v>
      </c>
      <c r="L363">
        <f t="shared" si="5"/>
        <v>19</v>
      </c>
    </row>
    <row r="364" spans="1:12" x14ac:dyDescent="0.3">
      <c r="A364" t="s">
        <v>71</v>
      </c>
      <c r="B364">
        <v>3</v>
      </c>
      <c r="C364">
        <v>16</v>
      </c>
      <c r="D364" t="s">
        <v>18</v>
      </c>
      <c r="E364" t="s">
        <v>17</v>
      </c>
      <c r="F364">
        <v>1</v>
      </c>
      <c r="G364">
        <v>71</v>
      </c>
      <c r="H364">
        <v>23.123999999999999</v>
      </c>
      <c r="I364">
        <v>15</v>
      </c>
      <c r="J364" t="s">
        <v>2</v>
      </c>
      <c r="K364" s="1">
        <v>9.5291666666666658E-4</v>
      </c>
      <c r="L364">
        <f t="shared" si="5"/>
        <v>19</v>
      </c>
    </row>
    <row r="365" spans="1:12" x14ac:dyDescent="0.3">
      <c r="A365" t="s">
        <v>71</v>
      </c>
      <c r="B365">
        <v>4</v>
      </c>
      <c r="C365">
        <v>55</v>
      </c>
      <c r="D365" t="s">
        <v>16</v>
      </c>
      <c r="E365" t="s">
        <v>17</v>
      </c>
      <c r="F365">
        <v>2</v>
      </c>
      <c r="G365">
        <v>71</v>
      </c>
      <c r="H365">
        <v>27.154</v>
      </c>
      <c r="I365">
        <v>12</v>
      </c>
      <c r="J365" t="s">
        <v>2</v>
      </c>
      <c r="K365" s="1">
        <v>9.553125E-4</v>
      </c>
      <c r="L365">
        <f t="shared" si="5"/>
        <v>19</v>
      </c>
    </row>
    <row r="366" spans="1:12" x14ac:dyDescent="0.3">
      <c r="A366" t="s">
        <v>71</v>
      </c>
      <c r="B366">
        <v>5</v>
      </c>
      <c r="C366">
        <v>4</v>
      </c>
      <c r="D366" t="s">
        <v>21</v>
      </c>
      <c r="E366" t="s">
        <v>22</v>
      </c>
      <c r="F366">
        <v>17</v>
      </c>
      <c r="G366">
        <v>71</v>
      </c>
      <c r="H366">
        <v>33.265999999999998</v>
      </c>
      <c r="I366">
        <v>10</v>
      </c>
      <c r="J366" t="s">
        <v>2</v>
      </c>
      <c r="K366" s="1">
        <v>9.4842592592592591E-4</v>
      </c>
      <c r="L366">
        <f t="shared" si="5"/>
        <v>19</v>
      </c>
    </row>
    <row r="367" spans="1:12" x14ac:dyDescent="0.3">
      <c r="A367" t="s">
        <v>71</v>
      </c>
      <c r="B367">
        <v>6</v>
      </c>
      <c r="C367">
        <v>63</v>
      </c>
      <c r="D367" t="s">
        <v>19</v>
      </c>
      <c r="E367" t="s">
        <v>20</v>
      </c>
      <c r="F367">
        <v>8</v>
      </c>
      <c r="G367">
        <v>71</v>
      </c>
      <c r="H367">
        <v>41.02</v>
      </c>
      <c r="I367">
        <v>8</v>
      </c>
      <c r="J367" t="s">
        <v>2</v>
      </c>
      <c r="K367" s="1">
        <v>9.5810185185185191E-4</v>
      </c>
      <c r="L367">
        <f t="shared" si="5"/>
        <v>19</v>
      </c>
    </row>
    <row r="368" spans="1:12" x14ac:dyDescent="0.3">
      <c r="A368" t="s">
        <v>71</v>
      </c>
      <c r="B368">
        <v>7</v>
      </c>
      <c r="C368">
        <v>3</v>
      </c>
      <c r="D368" t="s">
        <v>33</v>
      </c>
      <c r="E368" t="s">
        <v>91</v>
      </c>
      <c r="F368">
        <v>4</v>
      </c>
      <c r="G368">
        <v>71</v>
      </c>
      <c r="H368">
        <v>41.57</v>
      </c>
      <c r="I368">
        <v>6</v>
      </c>
      <c r="J368" t="s">
        <v>2</v>
      </c>
      <c r="K368" s="1">
        <v>9.5693287037037036E-4</v>
      </c>
      <c r="L368">
        <f t="shared" si="5"/>
        <v>19</v>
      </c>
    </row>
    <row r="369" spans="1:12" x14ac:dyDescent="0.3">
      <c r="A369" t="s">
        <v>71</v>
      </c>
      <c r="B369">
        <v>8</v>
      </c>
      <c r="C369">
        <v>81</v>
      </c>
      <c r="D369" t="s">
        <v>24</v>
      </c>
      <c r="E369" t="s">
        <v>22</v>
      </c>
      <c r="F369">
        <v>7</v>
      </c>
      <c r="G369">
        <v>71</v>
      </c>
      <c r="H369">
        <v>43.103999999999999</v>
      </c>
      <c r="I369">
        <v>4</v>
      </c>
      <c r="J369" t="s">
        <v>2</v>
      </c>
      <c r="K369" s="1">
        <v>9.5787037037037043E-4</v>
      </c>
      <c r="L369">
        <f t="shared" si="5"/>
        <v>19</v>
      </c>
    </row>
    <row r="370" spans="1:12" x14ac:dyDescent="0.3">
      <c r="A370" t="s">
        <v>71</v>
      </c>
      <c r="B370">
        <v>9</v>
      </c>
      <c r="C370">
        <v>23</v>
      </c>
      <c r="D370" t="s">
        <v>36</v>
      </c>
      <c r="E370" t="s">
        <v>37</v>
      </c>
      <c r="F370">
        <v>14</v>
      </c>
      <c r="G370">
        <v>71</v>
      </c>
      <c r="H370">
        <v>48.573</v>
      </c>
      <c r="I370">
        <v>2</v>
      </c>
      <c r="J370" t="s">
        <v>2</v>
      </c>
      <c r="K370" s="1">
        <v>9.5802083333333329E-4</v>
      </c>
      <c r="L370">
        <f t="shared" si="5"/>
        <v>19</v>
      </c>
    </row>
    <row r="371" spans="1:12" x14ac:dyDescent="0.3">
      <c r="A371" t="s">
        <v>71</v>
      </c>
      <c r="B371">
        <v>10</v>
      </c>
      <c r="C371">
        <v>31</v>
      </c>
      <c r="D371" t="s">
        <v>39</v>
      </c>
      <c r="E371" t="s">
        <v>40</v>
      </c>
      <c r="F371">
        <v>15</v>
      </c>
      <c r="G371">
        <v>71</v>
      </c>
      <c r="H371">
        <v>62.878999999999998</v>
      </c>
      <c r="I371">
        <v>1</v>
      </c>
      <c r="J371" t="s">
        <v>2</v>
      </c>
      <c r="K371" s="1">
        <v>9.6037037037037033E-4</v>
      </c>
      <c r="L371">
        <f t="shared" si="5"/>
        <v>19</v>
      </c>
    </row>
    <row r="372" spans="1:12" x14ac:dyDescent="0.3">
      <c r="A372" t="s">
        <v>71</v>
      </c>
      <c r="B372">
        <v>11</v>
      </c>
      <c r="C372">
        <v>10</v>
      </c>
      <c r="D372" t="s">
        <v>41</v>
      </c>
      <c r="E372" t="s">
        <v>40</v>
      </c>
      <c r="F372">
        <v>11</v>
      </c>
      <c r="G372">
        <v>71</v>
      </c>
      <c r="H372">
        <v>66.207999999999998</v>
      </c>
      <c r="I372">
        <v>0</v>
      </c>
      <c r="J372" t="s">
        <v>2</v>
      </c>
      <c r="K372" s="1">
        <v>9.6331018518518521E-4</v>
      </c>
      <c r="L372">
        <f t="shared" si="5"/>
        <v>19</v>
      </c>
    </row>
    <row r="373" spans="1:12" x14ac:dyDescent="0.3">
      <c r="A373" t="s">
        <v>71</v>
      </c>
      <c r="B373">
        <v>12</v>
      </c>
      <c r="C373">
        <v>22</v>
      </c>
      <c r="D373" t="s">
        <v>35</v>
      </c>
      <c r="E373" t="s">
        <v>91</v>
      </c>
      <c r="F373">
        <v>18</v>
      </c>
      <c r="G373">
        <v>71</v>
      </c>
      <c r="H373">
        <v>78.981999999999999</v>
      </c>
      <c r="I373">
        <v>0</v>
      </c>
      <c r="J373" t="s">
        <v>2</v>
      </c>
      <c r="K373" s="1">
        <v>9.5487268518518523E-4</v>
      </c>
      <c r="L373">
        <f t="shared" si="5"/>
        <v>19</v>
      </c>
    </row>
    <row r="374" spans="1:12" x14ac:dyDescent="0.3">
      <c r="A374" t="s">
        <v>71</v>
      </c>
      <c r="B374">
        <v>13</v>
      </c>
      <c r="C374">
        <v>27</v>
      </c>
      <c r="D374" t="s">
        <v>38</v>
      </c>
      <c r="E374" t="s">
        <v>32</v>
      </c>
      <c r="F374">
        <v>12</v>
      </c>
      <c r="G374">
        <v>71</v>
      </c>
      <c r="H374">
        <v>80.308999999999997</v>
      </c>
      <c r="I374">
        <v>0</v>
      </c>
      <c r="J374" t="s">
        <v>2</v>
      </c>
      <c r="K374" s="1">
        <v>9.6321759259259266E-4</v>
      </c>
      <c r="L374">
        <f t="shared" si="5"/>
        <v>19</v>
      </c>
    </row>
    <row r="375" spans="1:12" x14ac:dyDescent="0.3">
      <c r="A375" t="s">
        <v>71</v>
      </c>
      <c r="B375">
        <v>14</v>
      </c>
      <c r="C375">
        <v>24</v>
      </c>
      <c r="D375" t="s">
        <v>28</v>
      </c>
      <c r="E375" t="s">
        <v>90</v>
      </c>
      <c r="F375">
        <v>10</v>
      </c>
      <c r="G375">
        <v>71</v>
      </c>
      <c r="H375">
        <v>81.676000000000002</v>
      </c>
      <c r="I375">
        <v>0</v>
      </c>
      <c r="J375" t="s">
        <v>2</v>
      </c>
      <c r="K375" s="1">
        <v>9.6721064814814825E-4</v>
      </c>
      <c r="L375">
        <f t="shared" si="5"/>
        <v>19</v>
      </c>
    </row>
    <row r="376" spans="1:12" x14ac:dyDescent="0.3">
      <c r="A376" t="s">
        <v>71</v>
      </c>
      <c r="B376">
        <v>15</v>
      </c>
      <c r="C376">
        <v>77</v>
      </c>
      <c r="D376" t="s">
        <v>42</v>
      </c>
      <c r="E376" t="s">
        <v>90</v>
      </c>
      <c r="F376">
        <v>9</v>
      </c>
      <c r="G376">
        <v>71</v>
      </c>
      <c r="H376">
        <v>85.596999999999994</v>
      </c>
      <c r="I376">
        <v>0</v>
      </c>
      <c r="J376" t="s">
        <v>2</v>
      </c>
      <c r="K376" s="1">
        <v>9.6256944444444439E-4</v>
      </c>
      <c r="L376">
        <f t="shared" si="5"/>
        <v>19</v>
      </c>
    </row>
    <row r="377" spans="1:12" x14ac:dyDescent="0.3">
      <c r="A377" t="s">
        <v>71</v>
      </c>
      <c r="B377">
        <v>16</v>
      </c>
      <c r="C377">
        <v>2</v>
      </c>
      <c r="D377" t="s">
        <v>43</v>
      </c>
      <c r="E377" t="s">
        <v>37</v>
      </c>
      <c r="F377">
        <v>19</v>
      </c>
      <c r="G377">
        <v>70</v>
      </c>
      <c r="H377" t="s">
        <v>48</v>
      </c>
      <c r="I377">
        <v>0</v>
      </c>
      <c r="J377" t="s">
        <v>2</v>
      </c>
      <c r="K377" s="1">
        <v>9.6068287037037042E-4</v>
      </c>
      <c r="L377">
        <f t="shared" si="5"/>
        <v>19</v>
      </c>
    </row>
    <row r="378" spans="1:12" x14ac:dyDescent="0.3">
      <c r="A378" t="s">
        <v>71</v>
      </c>
      <c r="B378">
        <v>17</v>
      </c>
      <c r="C378">
        <v>18</v>
      </c>
      <c r="D378" t="s">
        <v>27</v>
      </c>
      <c r="E378" t="s">
        <v>26</v>
      </c>
      <c r="F378">
        <v>20</v>
      </c>
      <c r="G378">
        <v>66</v>
      </c>
      <c r="H378" t="s">
        <v>48</v>
      </c>
      <c r="I378">
        <v>0</v>
      </c>
      <c r="J378" t="s">
        <v>2</v>
      </c>
      <c r="K378" s="1">
        <v>9.636226851851852E-4</v>
      </c>
      <c r="L378">
        <f t="shared" si="5"/>
        <v>19</v>
      </c>
    </row>
    <row r="379" spans="1:12" x14ac:dyDescent="0.3">
      <c r="A379" t="s">
        <v>71</v>
      </c>
      <c r="B379" t="s">
        <v>47</v>
      </c>
      <c r="C379">
        <v>14</v>
      </c>
      <c r="D379" t="s">
        <v>25</v>
      </c>
      <c r="E379" t="s">
        <v>26</v>
      </c>
      <c r="F379">
        <v>13</v>
      </c>
      <c r="G379">
        <v>47</v>
      </c>
      <c r="H379" t="s">
        <v>48</v>
      </c>
      <c r="I379">
        <v>0</v>
      </c>
      <c r="J379" t="s">
        <v>2</v>
      </c>
      <c r="K379" s="1">
        <v>9.6679398148148156E-4</v>
      </c>
      <c r="L379">
        <f t="shared" si="5"/>
        <v>19</v>
      </c>
    </row>
    <row r="380" spans="1:12" x14ac:dyDescent="0.3">
      <c r="A380" t="s">
        <v>71</v>
      </c>
      <c r="B380" t="s">
        <v>47</v>
      </c>
      <c r="C380">
        <v>20</v>
      </c>
      <c r="D380" t="s">
        <v>31</v>
      </c>
      <c r="E380" t="s">
        <v>32</v>
      </c>
      <c r="F380">
        <v>16</v>
      </c>
      <c r="G380">
        <v>31</v>
      </c>
      <c r="H380" t="s">
        <v>48</v>
      </c>
      <c r="I380">
        <v>0</v>
      </c>
      <c r="J380" t="s">
        <v>2</v>
      </c>
      <c r="K380" s="1">
        <v>9.6233796296296302E-4</v>
      </c>
      <c r="L380">
        <f t="shared" si="5"/>
        <v>19</v>
      </c>
    </row>
    <row r="381" spans="1:12" x14ac:dyDescent="0.3">
      <c r="A381" t="s">
        <v>71</v>
      </c>
      <c r="B381" t="s">
        <v>47</v>
      </c>
      <c r="C381">
        <v>11</v>
      </c>
      <c r="D381" t="s">
        <v>15</v>
      </c>
      <c r="E381" t="s">
        <v>13</v>
      </c>
      <c r="F381">
        <v>5</v>
      </c>
      <c r="G381">
        <v>1</v>
      </c>
      <c r="H381" t="s">
        <v>48</v>
      </c>
      <c r="I381">
        <v>0</v>
      </c>
      <c r="J381" t="s">
        <v>2</v>
      </c>
      <c r="L381">
        <f t="shared" si="5"/>
        <v>19</v>
      </c>
    </row>
    <row r="382" spans="1:12" x14ac:dyDescent="0.3">
      <c r="A382" t="s">
        <v>72</v>
      </c>
      <c r="B382">
        <v>1</v>
      </c>
      <c r="C382">
        <v>1</v>
      </c>
      <c r="D382" t="s">
        <v>12</v>
      </c>
      <c r="E382" t="s">
        <v>13</v>
      </c>
      <c r="F382">
        <v>1</v>
      </c>
      <c r="G382">
        <v>71</v>
      </c>
      <c r="H382" s="1">
        <v>8.1121458333333341E-2</v>
      </c>
      <c r="I382">
        <v>25</v>
      </c>
      <c r="J382" t="s">
        <v>2</v>
      </c>
      <c r="K382" s="1">
        <v>8.4979166666666666E-4</v>
      </c>
      <c r="L382">
        <f t="shared" si="5"/>
        <v>20</v>
      </c>
    </row>
    <row r="383" spans="1:12" x14ac:dyDescent="0.3">
      <c r="A383" t="s">
        <v>72</v>
      </c>
      <c r="B383">
        <v>2</v>
      </c>
      <c r="C383">
        <v>4</v>
      </c>
      <c r="D383" t="s">
        <v>21</v>
      </c>
      <c r="E383" t="s">
        <v>22</v>
      </c>
      <c r="F383">
        <v>6</v>
      </c>
      <c r="G383">
        <v>71</v>
      </c>
      <c r="H383">
        <v>8.2270000000000003</v>
      </c>
      <c r="I383">
        <v>19</v>
      </c>
      <c r="J383" t="s">
        <v>14</v>
      </c>
      <c r="K383" s="1">
        <v>8.3895833333333337E-4</v>
      </c>
      <c r="L383">
        <f t="shared" si="5"/>
        <v>20</v>
      </c>
    </row>
    <row r="384" spans="1:12" x14ac:dyDescent="0.3">
      <c r="A384" t="s">
        <v>72</v>
      </c>
      <c r="B384">
        <v>3</v>
      </c>
      <c r="C384">
        <v>14</v>
      </c>
      <c r="D384" t="s">
        <v>25</v>
      </c>
      <c r="E384" t="s">
        <v>26</v>
      </c>
      <c r="F384">
        <v>4</v>
      </c>
      <c r="G384">
        <v>71</v>
      </c>
      <c r="H384">
        <v>34.155000000000001</v>
      </c>
      <c r="I384">
        <v>15</v>
      </c>
      <c r="J384" t="s">
        <v>2</v>
      </c>
      <c r="K384" s="1">
        <v>8.6159722222222226E-4</v>
      </c>
      <c r="L384">
        <f t="shared" si="5"/>
        <v>20</v>
      </c>
    </row>
    <row r="385" spans="1:12" x14ac:dyDescent="0.3">
      <c r="A385" t="s">
        <v>72</v>
      </c>
      <c r="B385">
        <v>4</v>
      </c>
      <c r="C385">
        <v>11</v>
      </c>
      <c r="D385" t="s">
        <v>15</v>
      </c>
      <c r="E385" t="s">
        <v>13</v>
      </c>
      <c r="F385">
        <v>9</v>
      </c>
      <c r="G385">
        <v>71</v>
      </c>
      <c r="H385">
        <v>34.207999999999998</v>
      </c>
      <c r="I385">
        <v>12</v>
      </c>
      <c r="J385" t="s">
        <v>2</v>
      </c>
      <c r="K385" s="1">
        <v>8.5791666666666666E-4</v>
      </c>
      <c r="L385">
        <f t="shared" si="5"/>
        <v>20</v>
      </c>
    </row>
    <row r="386" spans="1:12" x14ac:dyDescent="0.3">
      <c r="A386" t="s">
        <v>72</v>
      </c>
      <c r="B386">
        <v>5</v>
      </c>
      <c r="C386">
        <v>18</v>
      </c>
      <c r="D386" t="s">
        <v>27</v>
      </c>
      <c r="E386" t="s">
        <v>26</v>
      </c>
      <c r="F386">
        <v>3</v>
      </c>
      <c r="G386">
        <v>71</v>
      </c>
      <c r="H386">
        <v>40.844999999999999</v>
      </c>
      <c r="I386">
        <v>10</v>
      </c>
      <c r="J386" t="s">
        <v>2</v>
      </c>
      <c r="K386" s="1">
        <v>8.5656250000000001E-4</v>
      </c>
      <c r="L386">
        <f t="shared" si="5"/>
        <v>20</v>
      </c>
    </row>
    <row r="387" spans="1:12" x14ac:dyDescent="0.3">
      <c r="A387" t="s">
        <v>72</v>
      </c>
      <c r="B387">
        <v>6</v>
      </c>
      <c r="C387">
        <v>55</v>
      </c>
      <c r="D387" t="s">
        <v>16</v>
      </c>
      <c r="E387" t="s">
        <v>17</v>
      </c>
      <c r="F387">
        <v>7</v>
      </c>
      <c r="G387">
        <v>71</v>
      </c>
      <c r="H387">
        <v>50.188000000000002</v>
      </c>
      <c r="I387">
        <v>8</v>
      </c>
      <c r="J387" t="s">
        <v>2</v>
      </c>
      <c r="K387" s="1">
        <v>8.6118055555555557E-4</v>
      </c>
      <c r="L387">
        <f t="shared" si="5"/>
        <v>20</v>
      </c>
    </row>
    <row r="388" spans="1:12" x14ac:dyDescent="0.3">
      <c r="A388" t="s">
        <v>72</v>
      </c>
      <c r="B388">
        <v>7</v>
      </c>
      <c r="C388">
        <v>10</v>
      </c>
      <c r="D388" t="s">
        <v>41</v>
      </c>
      <c r="E388" t="s">
        <v>40</v>
      </c>
      <c r="F388">
        <v>15</v>
      </c>
      <c r="G388">
        <v>71</v>
      </c>
      <c r="H388">
        <v>56.093000000000004</v>
      </c>
      <c r="I388">
        <v>6</v>
      </c>
      <c r="J388" t="s">
        <v>2</v>
      </c>
      <c r="K388" s="1">
        <v>8.6251157407407414E-4</v>
      </c>
      <c r="L388">
        <f t="shared" si="5"/>
        <v>20</v>
      </c>
    </row>
    <row r="389" spans="1:12" x14ac:dyDescent="0.3">
      <c r="A389" t="s">
        <v>72</v>
      </c>
      <c r="B389">
        <v>8</v>
      </c>
      <c r="C389">
        <v>44</v>
      </c>
      <c r="D389" t="s">
        <v>23</v>
      </c>
      <c r="E389" t="s">
        <v>20</v>
      </c>
      <c r="F389">
        <v>5</v>
      </c>
      <c r="G389">
        <v>71</v>
      </c>
      <c r="H389">
        <v>62.859000000000002</v>
      </c>
      <c r="I389">
        <v>4</v>
      </c>
      <c r="J389" t="s">
        <v>2</v>
      </c>
      <c r="K389" s="1">
        <v>8.6503472222222222E-4</v>
      </c>
      <c r="L389">
        <f t="shared" si="5"/>
        <v>20</v>
      </c>
    </row>
    <row r="390" spans="1:12" x14ac:dyDescent="0.3">
      <c r="A390" t="s">
        <v>72</v>
      </c>
      <c r="B390">
        <v>9</v>
      </c>
      <c r="C390">
        <v>22</v>
      </c>
      <c r="D390" t="s">
        <v>35</v>
      </c>
      <c r="E390" t="s">
        <v>91</v>
      </c>
      <c r="F390">
        <v>16</v>
      </c>
      <c r="G390">
        <v>71</v>
      </c>
      <c r="H390">
        <v>69.88</v>
      </c>
      <c r="I390">
        <v>2</v>
      </c>
      <c r="J390" t="s">
        <v>2</v>
      </c>
      <c r="K390" s="1">
        <v>8.5915509259259257E-4</v>
      </c>
      <c r="L390">
        <f t="shared" si="5"/>
        <v>20</v>
      </c>
    </row>
    <row r="391" spans="1:12" x14ac:dyDescent="0.3">
      <c r="A391" t="s">
        <v>72</v>
      </c>
      <c r="B391">
        <v>10</v>
      </c>
      <c r="C391">
        <v>31</v>
      </c>
      <c r="D391" t="s">
        <v>39</v>
      </c>
      <c r="E391" t="s">
        <v>40</v>
      </c>
      <c r="F391">
        <v>14</v>
      </c>
      <c r="G391">
        <v>70</v>
      </c>
      <c r="H391" t="s">
        <v>30</v>
      </c>
      <c r="I391">
        <v>1</v>
      </c>
      <c r="J391" t="s">
        <v>2</v>
      </c>
      <c r="K391" s="1">
        <v>8.5886574074074077E-4</v>
      </c>
      <c r="L391">
        <f t="shared" si="5"/>
        <v>20</v>
      </c>
    </row>
    <row r="392" spans="1:12" x14ac:dyDescent="0.3">
      <c r="A392" t="s">
        <v>72</v>
      </c>
      <c r="B392">
        <v>11</v>
      </c>
      <c r="C392">
        <v>2</v>
      </c>
      <c r="D392" t="s">
        <v>43</v>
      </c>
      <c r="E392" t="s">
        <v>37</v>
      </c>
      <c r="F392">
        <v>19</v>
      </c>
      <c r="G392">
        <v>70</v>
      </c>
      <c r="H392" t="s">
        <v>30</v>
      </c>
      <c r="I392">
        <v>0</v>
      </c>
      <c r="J392" t="s">
        <v>2</v>
      </c>
      <c r="K392" s="1">
        <v>8.7659722222222219E-4</v>
      </c>
      <c r="L392">
        <f t="shared" si="5"/>
        <v>20</v>
      </c>
    </row>
    <row r="393" spans="1:12" x14ac:dyDescent="0.3">
      <c r="A393" t="s">
        <v>72</v>
      </c>
      <c r="B393">
        <v>12</v>
      </c>
      <c r="C393">
        <v>27</v>
      </c>
      <c r="D393" t="s">
        <v>38</v>
      </c>
      <c r="E393" t="s">
        <v>32</v>
      </c>
      <c r="F393">
        <v>11</v>
      </c>
      <c r="G393">
        <v>70</v>
      </c>
      <c r="H393" t="s">
        <v>30</v>
      </c>
      <c r="I393">
        <v>0</v>
      </c>
      <c r="J393" t="s">
        <v>2</v>
      </c>
      <c r="K393" s="1">
        <v>8.6847222222222219E-4</v>
      </c>
      <c r="L393">
        <f t="shared" si="5"/>
        <v>20</v>
      </c>
    </row>
    <row r="394" spans="1:12" x14ac:dyDescent="0.3">
      <c r="A394" t="s">
        <v>72</v>
      </c>
      <c r="B394">
        <v>13</v>
      </c>
      <c r="C394">
        <v>3</v>
      </c>
      <c r="D394" t="s">
        <v>33</v>
      </c>
      <c r="E394" t="s">
        <v>91</v>
      </c>
      <c r="F394">
        <v>17</v>
      </c>
      <c r="G394">
        <v>70</v>
      </c>
      <c r="H394" t="s">
        <v>30</v>
      </c>
      <c r="I394">
        <v>0</v>
      </c>
      <c r="J394" t="s">
        <v>2</v>
      </c>
      <c r="K394" s="1">
        <v>8.549305555555555E-4</v>
      </c>
      <c r="L394">
        <f t="shared" si="5"/>
        <v>20</v>
      </c>
    </row>
    <row r="395" spans="1:12" x14ac:dyDescent="0.3">
      <c r="A395" t="s">
        <v>72</v>
      </c>
      <c r="B395">
        <v>14</v>
      </c>
      <c r="C395">
        <v>81</v>
      </c>
      <c r="D395" t="s">
        <v>24</v>
      </c>
      <c r="E395" t="s">
        <v>22</v>
      </c>
      <c r="F395">
        <v>10</v>
      </c>
      <c r="G395">
        <v>69</v>
      </c>
      <c r="H395" t="s">
        <v>44</v>
      </c>
      <c r="I395">
        <v>0</v>
      </c>
      <c r="J395" t="s">
        <v>2</v>
      </c>
      <c r="K395" s="1">
        <v>8.6006944444444444E-4</v>
      </c>
      <c r="L395">
        <f t="shared" si="5"/>
        <v>20</v>
      </c>
    </row>
    <row r="396" spans="1:12" x14ac:dyDescent="0.3">
      <c r="A396" t="s">
        <v>72</v>
      </c>
      <c r="B396" t="s">
        <v>47</v>
      </c>
      <c r="C396">
        <v>63</v>
      </c>
      <c r="D396" t="s">
        <v>19</v>
      </c>
      <c r="E396" t="s">
        <v>20</v>
      </c>
      <c r="F396">
        <v>8</v>
      </c>
      <c r="G396">
        <v>57</v>
      </c>
      <c r="H396" t="s">
        <v>48</v>
      </c>
      <c r="I396">
        <v>0</v>
      </c>
      <c r="J396" t="s">
        <v>2</v>
      </c>
      <c r="K396" s="1">
        <v>8.672916666666666E-4</v>
      </c>
      <c r="L396">
        <f t="shared" si="5"/>
        <v>20</v>
      </c>
    </row>
    <row r="397" spans="1:12" x14ac:dyDescent="0.3">
      <c r="A397" t="s">
        <v>72</v>
      </c>
      <c r="B397" t="s">
        <v>47</v>
      </c>
      <c r="C397">
        <v>77</v>
      </c>
      <c r="D397" t="s">
        <v>42</v>
      </c>
      <c r="E397" t="s">
        <v>90</v>
      </c>
      <c r="F397">
        <v>18</v>
      </c>
      <c r="G397">
        <v>39</v>
      </c>
      <c r="H397" t="s">
        <v>48</v>
      </c>
      <c r="I397">
        <v>0</v>
      </c>
      <c r="J397" t="s">
        <v>2</v>
      </c>
      <c r="K397" s="1">
        <v>8.7651620370370368E-4</v>
      </c>
      <c r="L397">
        <f t="shared" si="5"/>
        <v>20</v>
      </c>
    </row>
    <row r="398" spans="1:12" x14ac:dyDescent="0.3">
      <c r="A398" t="s">
        <v>72</v>
      </c>
      <c r="B398" t="s">
        <v>47</v>
      </c>
      <c r="C398">
        <v>24</v>
      </c>
      <c r="D398" t="s">
        <v>28</v>
      </c>
      <c r="E398" t="s">
        <v>90</v>
      </c>
      <c r="F398">
        <v>20</v>
      </c>
      <c r="G398">
        <v>22</v>
      </c>
      <c r="H398" t="s">
        <v>48</v>
      </c>
      <c r="I398">
        <v>0</v>
      </c>
      <c r="J398" t="s">
        <v>2</v>
      </c>
      <c r="K398" s="1">
        <v>8.8231481481481483E-4</v>
      </c>
      <c r="L398">
        <f t="shared" si="5"/>
        <v>20</v>
      </c>
    </row>
    <row r="399" spans="1:12" x14ac:dyDescent="0.3">
      <c r="A399" t="s">
        <v>72</v>
      </c>
      <c r="B399" t="s">
        <v>47</v>
      </c>
      <c r="C399">
        <v>20</v>
      </c>
      <c r="D399" t="s">
        <v>31</v>
      </c>
      <c r="E399" t="s">
        <v>32</v>
      </c>
      <c r="F399">
        <v>12</v>
      </c>
      <c r="G399">
        <v>0</v>
      </c>
      <c r="H399" t="s">
        <v>48</v>
      </c>
      <c r="I399">
        <v>0</v>
      </c>
      <c r="J399" t="s">
        <v>2</v>
      </c>
      <c r="L399">
        <f t="shared" si="5"/>
        <v>20</v>
      </c>
    </row>
    <row r="400" spans="1:12" x14ac:dyDescent="0.3">
      <c r="A400" t="s">
        <v>72</v>
      </c>
      <c r="B400" t="s">
        <v>47</v>
      </c>
      <c r="C400">
        <v>23</v>
      </c>
      <c r="D400" t="s">
        <v>36</v>
      </c>
      <c r="E400" t="s">
        <v>37</v>
      </c>
      <c r="F400">
        <v>13</v>
      </c>
      <c r="G400">
        <v>0</v>
      </c>
      <c r="H400" t="s">
        <v>48</v>
      </c>
      <c r="I400">
        <v>0</v>
      </c>
      <c r="J400" t="s">
        <v>2</v>
      </c>
      <c r="L400">
        <f t="shared" si="5"/>
        <v>20</v>
      </c>
    </row>
    <row r="401" spans="1:12" x14ac:dyDescent="0.3">
      <c r="A401" t="s">
        <v>72</v>
      </c>
      <c r="B401" t="s">
        <v>47</v>
      </c>
      <c r="C401">
        <v>16</v>
      </c>
      <c r="D401" t="s">
        <v>18</v>
      </c>
      <c r="E401" t="s">
        <v>17</v>
      </c>
      <c r="F401">
        <v>2</v>
      </c>
      <c r="G401">
        <v>0</v>
      </c>
      <c r="H401" t="s">
        <v>60</v>
      </c>
      <c r="I401">
        <v>0</v>
      </c>
      <c r="J401" t="s">
        <v>2</v>
      </c>
      <c r="L401">
        <f t="shared" si="5"/>
        <v>20</v>
      </c>
    </row>
    <row r="402" spans="1:12" x14ac:dyDescent="0.3">
      <c r="A402" t="s">
        <v>74</v>
      </c>
      <c r="B402">
        <v>1</v>
      </c>
      <c r="C402">
        <v>1</v>
      </c>
      <c r="D402" t="s">
        <v>12</v>
      </c>
      <c r="E402" t="s">
        <v>13</v>
      </c>
      <c r="F402">
        <v>2</v>
      </c>
      <c r="G402">
        <v>50</v>
      </c>
      <c r="H402" s="1">
        <v>6.1901493055555555E-2</v>
      </c>
      <c r="I402">
        <v>25</v>
      </c>
      <c r="J402" t="s">
        <v>2</v>
      </c>
      <c r="K402" s="1">
        <v>1.1066435185185185E-3</v>
      </c>
      <c r="L402">
        <f t="shared" si="5"/>
        <v>21</v>
      </c>
    </row>
    <row r="403" spans="1:12" x14ac:dyDescent="0.3">
      <c r="A403" t="s">
        <v>74</v>
      </c>
      <c r="B403">
        <v>2</v>
      </c>
      <c r="C403">
        <v>16</v>
      </c>
      <c r="D403" t="s">
        <v>18</v>
      </c>
      <c r="E403" t="s">
        <v>17</v>
      </c>
      <c r="F403">
        <v>1</v>
      </c>
      <c r="G403">
        <v>50</v>
      </c>
      <c r="H403">
        <v>2.0699999999999998</v>
      </c>
      <c r="I403">
        <v>18</v>
      </c>
      <c r="J403" t="s">
        <v>2</v>
      </c>
      <c r="K403" s="1">
        <v>1.1072800925925926E-3</v>
      </c>
      <c r="L403">
        <f t="shared" si="5"/>
        <v>21</v>
      </c>
    </row>
    <row r="404" spans="1:12" x14ac:dyDescent="0.3">
      <c r="A404" t="s">
        <v>74</v>
      </c>
      <c r="B404">
        <v>3</v>
      </c>
      <c r="C404">
        <v>11</v>
      </c>
      <c r="D404" t="s">
        <v>15</v>
      </c>
      <c r="E404" t="s">
        <v>13</v>
      </c>
      <c r="F404">
        <v>11</v>
      </c>
      <c r="G404">
        <v>50</v>
      </c>
      <c r="H404">
        <v>2.2410000000000001</v>
      </c>
      <c r="I404">
        <v>15</v>
      </c>
      <c r="J404" t="s">
        <v>2</v>
      </c>
      <c r="K404" s="1">
        <v>1.1104050925925925E-3</v>
      </c>
      <c r="L404">
        <f t="shared" si="5"/>
        <v>21</v>
      </c>
    </row>
    <row r="405" spans="1:12" x14ac:dyDescent="0.3">
      <c r="A405" t="s">
        <v>74</v>
      </c>
      <c r="B405">
        <v>4</v>
      </c>
      <c r="C405">
        <v>31</v>
      </c>
      <c r="D405" t="s">
        <v>39</v>
      </c>
      <c r="E405" t="s">
        <v>40</v>
      </c>
      <c r="F405">
        <v>16</v>
      </c>
      <c r="G405">
        <v>50</v>
      </c>
      <c r="H405">
        <v>18.664999999999999</v>
      </c>
      <c r="I405">
        <v>12</v>
      </c>
      <c r="J405" t="s">
        <v>2</v>
      </c>
      <c r="K405" s="1">
        <v>1.1184837962962962E-3</v>
      </c>
      <c r="L405">
        <f t="shared" si="5"/>
        <v>21</v>
      </c>
    </row>
    <row r="406" spans="1:12" x14ac:dyDescent="0.3">
      <c r="A406" t="s">
        <v>74</v>
      </c>
      <c r="B406">
        <v>5</v>
      </c>
      <c r="C406">
        <v>18</v>
      </c>
      <c r="D406" t="s">
        <v>27</v>
      </c>
      <c r="E406" t="s">
        <v>26</v>
      </c>
      <c r="F406">
        <v>19</v>
      </c>
      <c r="G406">
        <v>50</v>
      </c>
      <c r="H406">
        <v>20.067</v>
      </c>
      <c r="I406">
        <v>10</v>
      </c>
      <c r="J406" t="s">
        <v>2</v>
      </c>
      <c r="K406" s="1">
        <v>1.1178703703703704E-3</v>
      </c>
      <c r="L406">
        <f t="shared" si="5"/>
        <v>21</v>
      </c>
    </row>
    <row r="407" spans="1:12" x14ac:dyDescent="0.3">
      <c r="A407" t="s">
        <v>74</v>
      </c>
      <c r="B407">
        <v>6</v>
      </c>
      <c r="C407">
        <v>55</v>
      </c>
      <c r="D407" t="s">
        <v>16</v>
      </c>
      <c r="E407" t="s">
        <v>17</v>
      </c>
      <c r="F407">
        <v>12</v>
      </c>
      <c r="G407">
        <v>50</v>
      </c>
      <c r="H407">
        <v>20.834</v>
      </c>
      <c r="I407">
        <v>8</v>
      </c>
      <c r="J407" t="s">
        <v>2</v>
      </c>
      <c r="K407" s="1">
        <v>1.110925925925926E-3</v>
      </c>
      <c r="L407">
        <f t="shared" ref="L407:L441" si="6">L387+1</f>
        <v>21</v>
      </c>
    </row>
    <row r="408" spans="1:12" x14ac:dyDescent="0.3">
      <c r="A408" t="s">
        <v>74</v>
      </c>
      <c r="B408">
        <v>7</v>
      </c>
      <c r="C408">
        <v>44</v>
      </c>
      <c r="D408" t="s">
        <v>23</v>
      </c>
      <c r="E408" t="s">
        <v>20</v>
      </c>
      <c r="F408">
        <v>10</v>
      </c>
      <c r="G408">
        <v>50</v>
      </c>
      <c r="H408">
        <v>21.754999999999999</v>
      </c>
      <c r="I408">
        <v>6</v>
      </c>
      <c r="J408" t="s">
        <v>2</v>
      </c>
      <c r="K408" s="1">
        <v>1.1078240740740742E-3</v>
      </c>
      <c r="L408">
        <f t="shared" si="6"/>
        <v>21</v>
      </c>
    </row>
    <row r="409" spans="1:12" x14ac:dyDescent="0.3">
      <c r="A409" t="s">
        <v>74</v>
      </c>
      <c r="B409">
        <v>8</v>
      </c>
      <c r="C409">
        <v>63</v>
      </c>
      <c r="D409" t="s">
        <v>19</v>
      </c>
      <c r="E409" t="s">
        <v>20</v>
      </c>
      <c r="F409">
        <v>3</v>
      </c>
      <c r="G409">
        <v>50</v>
      </c>
      <c r="H409">
        <v>23.091000000000001</v>
      </c>
      <c r="I409">
        <v>4</v>
      </c>
      <c r="J409" t="s">
        <v>2</v>
      </c>
      <c r="K409" s="1">
        <v>1.1119328703703703E-3</v>
      </c>
      <c r="L409">
        <f t="shared" si="6"/>
        <v>21</v>
      </c>
    </row>
    <row r="410" spans="1:12" x14ac:dyDescent="0.3">
      <c r="A410" t="s">
        <v>74</v>
      </c>
      <c r="B410">
        <v>9</v>
      </c>
      <c r="C410">
        <v>14</v>
      </c>
      <c r="D410" t="s">
        <v>25</v>
      </c>
      <c r="E410" t="s">
        <v>26</v>
      </c>
      <c r="F410">
        <v>9</v>
      </c>
      <c r="G410">
        <v>50</v>
      </c>
      <c r="H410">
        <v>25.963999999999999</v>
      </c>
      <c r="I410">
        <v>2</v>
      </c>
      <c r="J410" t="s">
        <v>2</v>
      </c>
      <c r="K410" s="1">
        <v>1.1175810185185184E-3</v>
      </c>
      <c r="L410">
        <f t="shared" si="6"/>
        <v>21</v>
      </c>
    </row>
    <row r="411" spans="1:12" x14ac:dyDescent="0.3">
      <c r="A411" t="s">
        <v>74</v>
      </c>
      <c r="B411">
        <v>10</v>
      </c>
      <c r="C411">
        <v>81</v>
      </c>
      <c r="D411" t="s">
        <v>24</v>
      </c>
      <c r="E411" t="s">
        <v>22</v>
      </c>
      <c r="F411">
        <v>18</v>
      </c>
      <c r="G411">
        <v>50</v>
      </c>
      <c r="H411">
        <v>29.495999999999999</v>
      </c>
      <c r="I411">
        <v>2</v>
      </c>
      <c r="J411" t="s">
        <v>14</v>
      </c>
      <c r="K411" s="1">
        <v>1.1052083333333335E-3</v>
      </c>
      <c r="L411">
        <f t="shared" si="6"/>
        <v>21</v>
      </c>
    </row>
    <row r="412" spans="1:12" x14ac:dyDescent="0.3">
      <c r="A412" t="s">
        <v>74</v>
      </c>
      <c r="B412">
        <v>11</v>
      </c>
      <c r="C412">
        <v>10</v>
      </c>
      <c r="D412" t="s">
        <v>41</v>
      </c>
      <c r="E412" t="s">
        <v>40</v>
      </c>
      <c r="F412">
        <v>4</v>
      </c>
      <c r="G412">
        <v>50</v>
      </c>
      <c r="H412">
        <v>34.270000000000003</v>
      </c>
      <c r="I412">
        <v>0</v>
      </c>
      <c r="J412" t="s">
        <v>2</v>
      </c>
      <c r="K412" s="1">
        <v>1.1216782407407408E-3</v>
      </c>
      <c r="L412">
        <f t="shared" si="6"/>
        <v>21</v>
      </c>
    </row>
    <row r="413" spans="1:12" x14ac:dyDescent="0.3">
      <c r="A413" t="s">
        <v>74</v>
      </c>
      <c r="B413">
        <v>12</v>
      </c>
      <c r="C413">
        <v>23</v>
      </c>
      <c r="D413" t="s">
        <v>36</v>
      </c>
      <c r="E413" t="s">
        <v>37</v>
      </c>
      <c r="F413">
        <v>5</v>
      </c>
      <c r="G413">
        <v>50</v>
      </c>
      <c r="H413">
        <v>43.398000000000003</v>
      </c>
      <c r="I413">
        <v>0</v>
      </c>
      <c r="J413" t="s">
        <v>2</v>
      </c>
      <c r="K413" s="1">
        <v>1.1268171296296295E-3</v>
      </c>
      <c r="L413">
        <f t="shared" si="6"/>
        <v>21</v>
      </c>
    </row>
    <row r="414" spans="1:12" x14ac:dyDescent="0.3">
      <c r="A414" t="s">
        <v>74</v>
      </c>
      <c r="B414">
        <v>13</v>
      </c>
      <c r="C414">
        <v>20</v>
      </c>
      <c r="D414" t="s">
        <v>31</v>
      </c>
      <c r="E414" t="s">
        <v>32</v>
      </c>
      <c r="F414">
        <v>8</v>
      </c>
      <c r="G414">
        <v>50</v>
      </c>
      <c r="H414">
        <v>44.825000000000003</v>
      </c>
      <c r="I414">
        <v>0</v>
      </c>
      <c r="J414" t="s">
        <v>2</v>
      </c>
      <c r="K414" s="1">
        <v>1.1279513888888888E-3</v>
      </c>
      <c r="L414">
        <f t="shared" si="6"/>
        <v>21</v>
      </c>
    </row>
    <row r="415" spans="1:12" x14ac:dyDescent="0.3">
      <c r="A415" t="s">
        <v>74</v>
      </c>
      <c r="B415">
        <v>14</v>
      </c>
      <c r="C415">
        <v>3</v>
      </c>
      <c r="D415" t="s">
        <v>33</v>
      </c>
      <c r="E415" t="s">
        <v>91</v>
      </c>
      <c r="F415">
        <v>14</v>
      </c>
      <c r="G415">
        <v>50</v>
      </c>
      <c r="H415">
        <v>48.524999999999999</v>
      </c>
      <c r="I415">
        <v>0</v>
      </c>
      <c r="J415" t="s">
        <v>2</v>
      </c>
      <c r="K415" s="1">
        <v>1.1239351851851853E-3</v>
      </c>
      <c r="L415">
        <f t="shared" si="6"/>
        <v>21</v>
      </c>
    </row>
    <row r="416" spans="1:12" x14ac:dyDescent="0.3">
      <c r="A416" t="s">
        <v>74</v>
      </c>
      <c r="B416">
        <v>15</v>
      </c>
      <c r="C416">
        <v>24</v>
      </c>
      <c r="D416" t="s">
        <v>28</v>
      </c>
      <c r="E416" t="s">
        <v>90</v>
      </c>
      <c r="F416">
        <v>17</v>
      </c>
      <c r="G416">
        <v>50</v>
      </c>
      <c r="H416">
        <v>50.161999999999999</v>
      </c>
      <c r="I416">
        <v>0</v>
      </c>
      <c r="J416" t="s">
        <v>2</v>
      </c>
      <c r="K416" s="1">
        <v>1.1270254629629629E-3</v>
      </c>
      <c r="L416">
        <f t="shared" si="6"/>
        <v>21</v>
      </c>
    </row>
    <row r="417" spans="1:12" x14ac:dyDescent="0.3">
      <c r="A417" t="s">
        <v>74</v>
      </c>
      <c r="B417">
        <v>16</v>
      </c>
      <c r="C417">
        <v>2</v>
      </c>
      <c r="D417" t="s">
        <v>43</v>
      </c>
      <c r="E417" t="s">
        <v>37</v>
      </c>
      <c r="F417">
        <v>6</v>
      </c>
      <c r="G417">
        <v>50</v>
      </c>
      <c r="H417">
        <v>50.881999999999998</v>
      </c>
      <c r="I417">
        <v>0</v>
      </c>
      <c r="J417" t="s">
        <v>2</v>
      </c>
      <c r="K417" s="1">
        <v>1.1312500000000001E-3</v>
      </c>
      <c r="L417">
        <f t="shared" si="6"/>
        <v>21</v>
      </c>
    </row>
    <row r="418" spans="1:12" x14ac:dyDescent="0.3">
      <c r="A418" t="s">
        <v>74</v>
      </c>
      <c r="B418">
        <v>17</v>
      </c>
      <c r="C418">
        <v>77</v>
      </c>
      <c r="D418" t="s">
        <v>42</v>
      </c>
      <c r="E418" t="s">
        <v>90</v>
      </c>
      <c r="F418">
        <v>7</v>
      </c>
      <c r="G418">
        <v>50</v>
      </c>
      <c r="H418">
        <v>85.35</v>
      </c>
      <c r="I418">
        <v>0</v>
      </c>
      <c r="J418" t="s">
        <v>2</v>
      </c>
      <c r="K418" s="1">
        <v>1.1291898148148149E-3</v>
      </c>
      <c r="L418">
        <f t="shared" si="6"/>
        <v>21</v>
      </c>
    </row>
    <row r="419" spans="1:12" x14ac:dyDescent="0.3">
      <c r="A419" t="s">
        <v>74</v>
      </c>
      <c r="B419">
        <v>18</v>
      </c>
      <c r="C419">
        <v>22</v>
      </c>
      <c r="D419" t="s">
        <v>35</v>
      </c>
      <c r="E419" t="s">
        <v>91</v>
      </c>
      <c r="F419">
        <v>20</v>
      </c>
      <c r="G419">
        <v>46</v>
      </c>
      <c r="H419" t="s">
        <v>48</v>
      </c>
      <c r="I419">
        <v>0</v>
      </c>
      <c r="J419" t="s">
        <v>2</v>
      </c>
      <c r="K419" s="1">
        <v>1.1294791666666667E-3</v>
      </c>
      <c r="L419">
        <f t="shared" si="6"/>
        <v>21</v>
      </c>
    </row>
    <row r="420" spans="1:12" x14ac:dyDescent="0.3">
      <c r="A420" t="s">
        <v>74</v>
      </c>
      <c r="B420">
        <v>19</v>
      </c>
      <c r="C420">
        <v>27</v>
      </c>
      <c r="D420" t="s">
        <v>38</v>
      </c>
      <c r="E420" t="s">
        <v>32</v>
      </c>
      <c r="F420">
        <v>13</v>
      </c>
      <c r="G420">
        <v>45</v>
      </c>
      <c r="H420" t="s">
        <v>48</v>
      </c>
      <c r="I420">
        <v>0</v>
      </c>
      <c r="J420" t="s">
        <v>2</v>
      </c>
      <c r="K420" s="1">
        <v>1.1292245370370371E-3</v>
      </c>
      <c r="L420">
        <f t="shared" si="6"/>
        <v>21</v>
      </c>
    </row>
    <row r="421" spans="1:12" x14ac:dyDescent="0.3">
      <c r="A421" t="s">
        <v>74</v>
      </c>
      <c r="B421" t="s">
        <v>47</v>
      </c>
      <c r="C421">
        <v>4</v>
      </c>
      <c r="D421" t="s">
        <v>21</v>
      </c>
      <c r="E421" t="s">
        <v>22</v>
      </c>
      <c r="F421">
        <v>15</v>
      </c>
      <c r="G421">
        <v>2</v>
      </c>
      <c r="H421" t="s">
        <v>48</v>
      </c>
      <c r="I421">
        <v>0</v>
      </c>
      <c r="J421" t="s">
        <v>2</v>
      </c>
      <c r="K421" s="1">
        <v>1.381099537037037E-3</v>
      </c>
      <c r="L421">
        <f t="shared" si="6"/>
        <v>21</v>
      </c>
    </row>
    <row r="422" spans="1:12" x14ac:dyDescent="0.3">
      <c r="A422" t="s">
        <v>76</v>
      </c>
      <c r="B422">
        <v>1</v>
      </c>
      <c r="C422">
        <v>1</v>
      </c>
      <c r="D422" t="s">
        <v>12</v>
      </c>
      <c r="E422" t="s">
        <v>13</v>
      </c>
      <c r="F422">
        <v>1</v>
      </c>
      <c r="G422">
        <v>58</v>
      </c>
      <c r="H422" s="1">
        <v>6.0447037037037035E-2</v>
      </c>
      <c r="I422">
        <v>26</v>
      </c>
      <c r="J422" t="s">
        <v>14</v>
      </c>
      <c r="K422" s="1">
        <v>1.0068634259259258E-3</v>
      </c>
      <c r="L422">
        <f t="shared" si="6"/>
        <v>22</v>
      </c>
    </row>
    <row r="423" spans="1:12" x14ac:dyDescent="0.3">
      <c r="A423" t="s">
        <v>76</v>
      </c>
      <c r="B423">
        <v>2</v>
      </c>
      <c r="C423">
        <v>16</v>
      </c>
      <c r="D423" t="s">
        <v>18</v>
      </c>
      <c r="E423" t="s">
        <v>17</v>
      </c>
      <c r="F423">
        <v>2</v>
      </c>
      <c r="G423">
        <v>58</v>
      </c>
      <c r="H423">
        <v>17.992999999999999</v>
      </c>
      <c r="I423">
        <v>18</v>
      </c>
      <c r="J423" t="s">
        <v>2</v>
      </c>
      <c r="K423" s="1">
        <v>1.0208217592592593E-3</v>
      </c>
      <c r="L423">
        <f t="shared" si="6"/>
        <v>22</v>
      </c>
    </row>
    <row r="424" spans="1:12" x14ac:dyDescent="0.3">
      <c r="A424" t="s">
        <v>76</v>
      </c>
      <c r="B424">
        <v>3</v>
      </c>
      <c r="C424">
        <v>63</v>
      </c>
      <c r="D424" t="s">
        <v>19</v>
      </c>
      <c r="E424" t="s">
        <v>20</v>
      </c>
      <c r="F424">
        <v>4</v>
      </c>
      <c r="G424">
        <v>58</v>
      </c>
      <c r="H424">
        <v>20.327999999999999</v>
      </c>
      <c r="I424">
        <v>15</v>
      </c>
      <c r="J424" t="s">
        <v>2</v>
      </c>
      <c r="K424" s="1">
        <v>1.0206828703703704E-3</v>
      </c>
      <c r="L424">
        <f t="shared" si="6"/>
        <v>22</v>
      </c>
    </row>
    <row r="425" spans="1:12" x14ac:dyDescent="0.3">
      <c r="A425" t="s">
        <v>76</v>
      </c>
      <c r="B425">
        <v>4</v>
      </c>
      <c r="C425">
        <v>11</v>
      </c>
      <c r="D425" t="s">
        <v>15</v>
      </c>
      <c r="E425" t="s">
        <v>13</v>
      </c>
      <c r="F425">
        <v>9</v>
      </c>
      <c r="G425">
        <v>58</v>
      </c>
      <c r="H425">
        <v>21.452999999999999</v>
      </c>
      <c r="I425">
        <v>12</v>
      </c>
      <c r="J425" t="s">
        <v>2</v>
      </c>
      <c r="K425" s="1">
        <v>1.0126504629629628E-3</v>
      </c>
      <c r="L425">
        <f t="shared" si="6"/>
        <v>22</v>
      </c>
    </row>
    <row r="426" spans="1:12" x14ac:dyDescent="0.3">
      <c r="A426" t="s">
        <v>76</v>
      </c>
      <c r="B426">
        <v>5</v>
      </c>
      <c r="C426">
        <v>4</v>
      </c>
      <c r="D426" t="s">
        <v>21</v>
      </c>
      <c r="E426" t="s">
        <v>22</v>
      </c>
      <c r="F426">
        <v>5</v>
      </c>
      <c r="G426">
        <v>58</v>
      </c>
      <c r="H426">
        <v>24.283999999999999</v>
      </c>
      <c r="I426">
        <v>10</v>
      </c>
      <c r="J426" t="s">
        <v>2</v>
      </c>
      <c r="K426" s="1">
        <v>1.0204166666666667E-3</v>
      </c>
      <c r="L426">
        <f t="shared" si="6"/>
        <v>22</v>
      </c>
    </row>
    <row r="427" spans="1:12" x14ac:dyDescent="0.3">
      <c r="A427" t="s">
        <v>76</v>
      </c>
      <c r="B427">
        <v>6</v>
      </c>
      <c r="C427">
        <v>81</v>
      </c>
      <c r="D427" t="s">
        <v>24</v>
      </c>
      <c r="E427" t="s">
        <v>22</v>
      </c>
      <c r="F427">
        <v>3</v>
      </c>
      <c r="G427">
        <v>58</v>
      </c>
      <c r="H427">
        <v>31.486999999999998</v>
      </c>
      <c r="I427">
        <v>8</v>
      </c>
      <c r="J427" t="s">
        <v>2</v>
      </c>
      <c r="K427" s="1">
        <v>1.0201157407407407E-3</v>
      </c>
      <c r="L427">
        <f t="shared" si="6"/>
        <v>22</v>
      </c>
    </row>
    <row r="428" spans="1:12" x14ac:dyDescent="0.3">
      <c r="A428" t="s">
        <v>76</v>
      </c>
      <c r="B428">
        <v>7</v>
      </c>
      <c r="C428">
        <v>14</v>
      </c>
      <c r="D428" t="s">
        <v>25</v>
      </c>
      <c r="E428" t="s">
        <v>26</v>
      </c>
      <c r="F428">
        <v>7</v>
      </c>
      <c r="G428">
        <v>58</v>
      </c>
      <c r="H428">
        <v>39.512</v>
      </c>
      <c r="I428">
        <v>6</v>
      </c>
      <c r="J428" t="s">
        <v>2</v>
      </c>
      <c r="K428" s="1">
        <v>1.0214814814814815E-3</v>
      </c>
      <c r="L428">
        <f t="shared" si="6"/>
        <v>22</v>
      </c>
    </row>
    <row r="429" spans="1:12" x14ac:dyDescent="0.3">
      <c r="A429" t="s">
        <v>76</v>
      </c>
      <c r="B429">
        <v>8</v>
      </c>
      <c r="C429">
        <v>22</v>
      </c>
      <c r="D429" t="s">
        <v>35</v>
      </c>
      <c r="E429" t="s">
        <v>91</v>
      </c>
      <c r="F429">
        <v>6</v>
      </c>
      <c r="G429">
        <v>58</v>
      </c>
      <c r="H429">
        <v>43.088000000000001</v>
      </c>
      <c r="I429">
        <v>4</v>
      </c>
      <c r="J429" t="s">
        <v>2</v>
      </c>
      <c r="K429" s="1">
        <v>1.0330555555555555E-3</v>
      </c>
      <c r="L429">
        <f t="shared" si="6"/>
        <v>22</v>
      </c>
    </row>
    <row r="430" spans="1:12" x14ac:dyDescent="0.3">
      <c r="A430" t="s">
        <v>76</v>
      </c>
      <c r="B430">
        <v>9</v>
      </c>
      <c r="C430">
        <v>44</v>
      </c>
      <c r="D430" t="s">
        <v>23</v>
      </c>
      <c r="E430" t="s">
        <v>20</v>
      </c>
      <c r="F430">
        <v>11</v>
      </c>
      <c r="G430">
        <v>58</v>
      </c>
      <c r="H430">
        <v>44.423999999999999</v>
      </c>
      <c r="I430">
        <v>2</v>
      </c>
      <c r="J430" t="s">
        <v>2</v>
      </c>
      <c r="K430" s="1">
        <v>1.022824074074074E-3</v>
      </c>
      <c r="L430">
        <f t="shared" si="6"/>
        <v>22</v>
      </c>
    </row>
    <row r="431" spans="1:12" x14ac:dyDescent="0.3">
      <c r="A431" t="s">
        <v>76</v>
      </c>
      <c r="B431">
        <v>10</v>
      </c>
      <c r="C431">
        <v>18</v>
      </c>
      <c r="D431" t="s">
        <v>27</v>
      </c>
      <c r="E431" t="s">
        <v>26</v>
      </c>
      <c r="F431">
        <v>13</v>
      </c>
      <c r="G431">
        <v>58</v>
      </c>
      <c r="H431">
        <v>55.631999999999998</v>
      </c>
      <c r="I431">
        <v>1</v>
      </c>
      <c r="J431" t="s">
        <v>2</v>
      </c>
      <c r="K431" s="1">
        <v>1.0190972222222222E-3</v>
      </c>
      <c r="L431">
        <f t="shared" si="6"/>
        <v>22</v>
      </c>
    </row>
    <row r="432" spans="1:12" x14ac:dyDescent="0.3">
      <c r="A432" t="s">
        <v>76</v>
      </c>
      <c r="B432">
        <v>11</v>
      </c>
      <c r="C432">
        <v>3</v>
      </c>
      <c r="D432" t="s">
        <v>33</v>
      </c>
      <c r="E432" t="s">
        <v>91</v>
      </c>
      <c r="F432">
        <v>15</v>
      </c>
      <c r="G432">
        <v>58</v>
      </c>
      <c r="H432">
        <v>56.228999999999999</v>
      </c>
      <c r="I432">
        <v>0</v>
      </c>
      <c r="J432" t="s">
        <v>2</v>
      </c>
      <c r="K432" s="1">
        <v>1.0251273148148149E-3</v>
      </c>
      <c r="L432">
        <f t="shared" si="6"/>
        <v>22</v>
      </c>
    </row>
    <row r="433" spans="1:12" x14ac:dyDescent="0.3">
      <c r="A433" t="s">
        <v>76</v>
      </c>
      <c r="B433">
        <v>12</v>
      </c>
      <c r="C433">
        <v>31</v>
      </c>
      <c r="D433" t="s">
        <v>39</v>
      </c>
      <c r="E433" t="s">
        <v>40</v>
      </c>
      <c r="F433">
        <v>12</v>
      </c>
      <c r="G433">
        <v>58</v>
      </c>
      <c r="H433">
        <v>66.373000000000005</v>
      </c>
      <c r="I433">
        <v>0</v>
      </c>
      <c r="J433" t="s">
        <v>2</v>
      </c>
      <c r="K433" s="1">
        <v>1.0420486111111112E-3</v>
      </c>
      <c r="L433">
        <f t="shared" si="6"/>
        <v>22</v>
      </c>
    </row>
    <row r="434" spans="1:12" x14ac:dyDescent="0.3">
      <c r="A434" t="s">
        <v>76</v>
      </c>
      <c r="B434">
        <v>13</v>
      </c>
      <c r="C434">
        <v>10</v>
      </c>
      <c r="D434" t="s">
        <v>41</v>
      </c>
      <c r="E434" t="s">
        <v>40</v>
      </c>
      <c r="F434">
        <v>10</v>
      </c>
      <c r="G434">
        <v>58</v>
      </c>
      <c r="H434">
        <v>70.36</v>
      </c>
      <c r="I434">
        <v>0</v>
      </c>
      <c r="J434" t="s">
        <v>2</v>
      </c>
      <c r="K434" s="1">
        <v>1.0302777777777777E-3</v>
      </c>
      <c r="L434">
        <f t="shared" si="6"/>
        <v>22</v>
      </c>
    </row>
    <row r="435" spans="1:12" x14ac:dyDescent="0.3">
      <c r="A435" t="s">
        <v>76</v>
      </c>
      <c r="B435">
        <v>14</v>
      </c>
      <c r="C435">
        <v>23</v>
      </c>
      <c r="D435" t="s">
        <v>36</v>
      </c>
      <c r="E435" t="s">
        <v>37</v>
      </c>
      <c r="F435">
        <v>14</v>
      </c>
      <c r="G435">
        <v>58</v>
      </c>
      <c r="H435">
        <v>73.183999999999997</v>
      </c>
      <c r="I435">
        <v>0</v>
      </c>
      <c r="J435" t="s">
        <v>2</v>
      </c>
      <c r="K435" s="1">
        <v>1.0167245370370371E-3</v>
      </c>
      <c r="L435">
        <f t="shared" si="6"/>
        <v>22</v>
      </c>
    </row>
    <row r="436" spans="1:12" x14ac:dyDescent="0.3">
      <c r="A436" t="s">
        <v>76</v>
      </c>
      <c r="B436">
        <v>15</v>
      </c>
      <c r="C436">
        <v>27</v>
      </c>
      <c r="D436" t="s">
        <v>38</v>
      </c>
      <c r="E436" t="s">
        <v>32</v>
      </c>
      <c r="F436">
        <v>8</v>
      </c>
      <c r="G436">
        <v>58</v>
      </c>
      <c r="H436">
        <v>83.695999999999998</v>
      </c>
      <c r="I436">
        <v>0</v>
      </c>
      <c r="J436" t="s">
        <v>2</v>
      </c>
      <c r="K436" s="1">
        <v>1.0326041666666667E-3</v>
      </c>
      <c r="L436">
        <f t="shared" si="6"/>
        <v>22</v>
      </c>
    </row>
    <row r="437" spans="1:12" x14ac:dyDescent="0.3">
      <c r="A437" t="s">
        <v>76</v>
      </c>
      <c r="B437">
        <v>16</v>
      </c>
      <c r="C437">
        <v>2</v>
      </c>
      <c r="D437" t="s">
        <v>43</v>
      </c>
      <c r="E437" t="s">
        <v>37</v>
      </c>
      <c r="F437">
        <v>20</v>
      </c>
      <c r="G437">
        <v>58</v>
      </c>
      <c r="H437">
        <v>87.790999999999997</v>
      </c>
      <c r="I437">
        <v>0</v>
      </c>
      <c r="J437" t="s">
        <v>2</v>
      </c>
      <c r="K437" s="1">
        <v>1.0252314814814816E-3</v>
      </c>
      <c r="L437">
        <f t="shared" si="6"/>
        <v>22</v>
      </c>
    </row>
    <row r="438" spans="1:12" x14ac:dyDescent="0.3">
      <c r="A438" t="s">
        <v>76</v>
      </c>
      <c r="B438">
        <v>17</v>
      </c>
      <c r="C438">
        <v>24</v>
      </c>
      <c r="D438" t="s">
        <v>28</v>
      </c>
      <c r="E438" t="s">
        <v>90</v>
      </c>
      <c r="F438">
        <v>19</v>
      </c>
      <c r="G438">
        <v>58</v>
      </c>
      <c r="H438">
        <v>89.421999999999997</v>
      </c>
      <c r="I438">
        <v>0</v>
      </c>
      <c r="J438" t="s">
        <v>2</v>
      </c>
      <c r="K438" s="1">
        <v>1.0271527777777777E-3</v>
      </c>
      <c r="L438">
        <f t="shared" si="6"/>
        <v>22</v>
      </c>
    </row>
    <row r="439" spans="1:12" x14ac:dyDescent="0.3">
      <c r="A439" t="s">
        <v>76</v>
      </c>
      <c r="B439">
        <v>18</v>
      </c>
      <c r="C439">
        <v>55</v>
      </c>
      <c r="D439" t="s">
        <v>16</v>
      </c>
      <c r="E439" t="s">
        <v>17</v>
      </c>
      <c r="F439">
        <v>16</v>
      </c>
      <c r="G439">
        <v>57</v>
      </c>
      <c r="H439" t="s">
        <v>48</v>
      </c>
      <c r="I439">
        <v>0</v>
      </c>
      <c r="J439" t="s">
        <v>2</v>
      </c>
      <c r="K439" s="1">
        <v>1.0353240740740741E-3</v>
      </c>
      <c r="L439">
        <f t="shared" si="6"/>
        <v>22</v>
      </c>
    </row>
    <row r="440" spans="1:12" x14ac:dyDescent="0.3">
      <c r="A440" t="s">
        <v>76</v>
      </c>
      <c r="B440">
        <v>19</v>
      </c>
      <c r="C440">
        <v>77</v>
      </c>
      <c r="D440" t="s">
        <v>42</v>
      </c>
      <c r="E440" t="s">
        <v>90</v>
      </c>
      <c r="F440">
        <v>18</v>
      </c>
      <c r="G440">
        <v>57</v>
      </c>
      <c r="H440" t="s">
        <v>30</v>
      </c>
      <c r="I440">
        <v>0</v>
      </c>
      <c r="J440" t="s">
        <v>2</v>
      </c>
      <c r="K440" s="1">
        <v>1.0400810185185185E-3</v>
      </c>
      <c r="L440">
        <f t="shared" si="6"/>
        <v>22</v>
      </c>
    </row>
    <row r="441" spans="1:12" x14ac:dyDescent="0.3">
      <c r="A441" t="s">
        <v>76</v>
      </c>
      <c r="B441">
        <v>20</v>
      </c>
      <c r="C441">
        <v>20</v>
      </c>
      <c r="D441" t="s">
        <v>31</v>
      </c>
      <c r="E441" t="s">
        <v>32</v>
      </c>
      <c r="F441">
        <v>17</v>
      </c>
      <c r="G441">
        <v>57</v>
      </c>
      <c r="H441" t="s">
        <v>30</v>
      </c>
      <c r="I441">
        <v>0</v>
      </c>
      <c r="J441" t="s">
        <v>2</v>
      </c>
      <c r="K441" s="1">
        <v>1.0409027777777777E-3</v>
      </c>
      <c r="L441">
        <f t="shared" si="6"/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2B3B-E1B9-4F42-A94C-14A07D4B3E59}">
  <dimension ref="A1:N481"/>
  <sheetViews>
    <sheetView tabSelected="1" zoomScale="67" workbookViewId="0">
      <pane ySplit="1" topLeftCell="A2" activePane="bottomLeft" state="frozen"/>
      <selection activeCell="L2" sqref="L2"/>
      <selection pane="bottomLeft" activeCell="Q28" sqref="Q28"/>
    </sheetView>
  </sheetViews>
  <sheetFormatPr defaultRowHeight="14.4" x14ac:dyDescent="0.3"/>
  <cols>
    <col min="1" max="1" width="16.6640625" bestFit="1" customWidth="1"/>
    <col min="2" max="2" width="9" bestFit="1" customWidth="1"/>
    <col min="3" max="3" width="4" bestFit="1" customWidth="1"/>
    <col min="4" max="4" width="18.5546875" bestFit="1" customWidth="1"/>
    <col min="5" max="5" width="31.6640625" bestFit="1" customWidth="1"/>
    <col min="6" max="6" width="13.21875" bestFit="1" customWidth="1"/>
    <col min="7" max="7" width="6.109375" bestFit="1" customWidth="1"/>
    <col min="8" max="8" width="13.44140625" bestFit="1" customWidth="1"/>
    <col min="9" max="9" width="7.33203125" bestFit="1" customWidth="1"/>
    <col min="10" max="10" width="16.5546875" bestFit="1" customWidth="1"/>
    <col min="11" max="11" width="17.77734375" bestFit="1" customWidth="1"/>
    <col min="12" max="12" width="1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</row>
    <row r="2" spans="1:14" x14ac:dyDescent="0.3">
      <c r="A2" t="s">
        <v>11</v>
      </c>
      <c r="B2">
        <v>1</v>
      </c>
      <c r="C2">
        <v>1</v>
      </c>
      <c r="D2" t="s">
        <v>12</v>
      </c>
      <c r="E2" t="s">
        <v>13</v>
      </c>
      <c r="F2">
        <v>1</v>
      </c>
      <c r="G2">
        <v>57</v>
      </c>
      <c r="H2" s="1">
        <v>6.3712291666666671E-2</v>
      </c>
      <c r="I2">
        <v>26</v>
      </c>
      <c r="J2" t="s">
        <v>14</v>
      </c>
      <c r="K2" s="1">
        <v>1.0718518518518518E-3</v>
      </c>
      <c r="L2">
        <v>1</v>
      </c>
      <c r="N2" s="4"/>
    </row>
    <row r="3" spans="1:14" x14ac:dyDescent="0.3">
      <c r="A3" t="s">
        <v>11</v>
      </c>
      <c r="B3">
        <v>2</v>
      </c>
      <c r="C3">
        <v>11</v>
      </c>
      <c r="D3" t="s">
        <v>15</v>
      </c>
      <c r="E3" t="s">
        <v>13</v>
      </c>
      <c r="F3">
        <v>5</v>
      </c>
      <c r="G3">
        <v>57</v>
      </c>
      <c r="H3">
        <v>22.457000000000001</v>
      </c>
      <c r="I3">
        <v>18</v>
      </c>
      <c r="J3" t="s">
        <v>2</v>
      </c>
      <c r="K3" s="1">
        <v>1.0921759259259259E-3</v>
      </c>
      <c r="L3">
        <v>1</v>
      </c>
      <c r="N3" s="4"/>
    </row>
    <row r="4" spans="1:14" x14ac:dyDescent="0.3">
      <c r="A4" t="s">
        <v>11</v>
      </c>
      <c r="B4">
        <v>3</v>
      </c>
      <c r="C4">
        <v>55</v>
      </c>
      <c r="D4" t="s">
        <v>16</v>
      </c>
      <c r="E4" t="s">
        <v>17</v>
      </c>
      <c r="F4">
        <v>4</v>
      </c>
      <c r="G4">
        <v>57</v>
      </c>
      <c r="H4">
        <v>25.11</v>
      </c>
      <c r="I4">
        <v>15</v>
      </c>
      <c r="J4" t="s">
        <v>2</v>
      </c>
      <c r="K4" s="1">
        <v>1.0938310185185185E-3</v>
      </c>
      <c r="L4">
        <v>1</v>
      </c>
      <c r="N4" s="4"/>
    </row>
    <row r="5" spans="1:14" x14ac:dyDescent="0.3">
      <c r="A5" t="s">
        <v>11</v>
      </c>
      <c r="B5">
        <v>4</v>
      </c>
      <c r="C5">
        <v>16</v>
      </c>
      <c r="D5" t="s">
        <v>18</v>
      </c>
      <c r="E5" t="s">
        <v>17</v>
      </c>
      <c r="F5">
        <v>2</v>
      </c>
      <c r="G5">
        <v>57</v>
      </c>
      <c r="H5">
        <v>39.668999999999997</v>
      </c>
      <c r="I5">
        <v>12</v>
      </c>
      <c r="J5" t="s">
        <v>2</v>
      </c>
      <c r="K5" s="1">
        <v>1.0890046296296297E-3</v>
      </c>
      <c r="L5">
        <v>1</v>
      </c>
      <c r="N5" s="4"/>
    </row>
    <row r="6" spans="1:14" x14ac:dyDescent="0.3">
      <c r="A6" t="s">
        <v>11</v>
      </c>
      <c r="B6">
        <v>5</v>
      </c>
      <c r="C6">
        <v>63</v>
      </c>
      <c r="D6" t="s">
        <v>19</v>
      </c>
      <c r="E6" t="s">
        <v>20</v>
      </c>
      <c r="F6">
        <v>3</v>
      </c>
      <c r="G6">
        <v>57</v>
      </c>
      <c r="H6">
        <v>46.787999999999997</v>
      </c>
      <c r="I6">
        <v>10</v>
      </c>
      <c r="J6" t="s">
        <v>2</v>
      </c>
      <c r="K6" s="1">
        <v>1.1002893518518519E-3</v>
      </c>
      <c r="L6">
        <v>1</v>
      </c>
      <c r="N6" s="4"/>
    </row>
    <row r="7" spans="1:14" x14ac:dyDescent="0.3">
      <c r="A7" t="s">
        <v>11</v>
      </c>
      <c r="B7">
        <v>6</v>
      </c>
      <c r="C7">
        <v>4</v>
      </c>
      <c r="D7" t="s">
        <v>21</v>
      </c>
      <c r="E7" t="s">
        <v>22</v>
      </c>
      <c r="F7">
        <v>7</v>
      </c>
      <c r="G7">
        <v>57</v>
      </c>
      <c r="H7">
        <v>48.457999999999998</v>
      </c>
      <c r="I7">
        <v>8</v>
      </c>
      <c r="J7" t="s">
        <v>2</v>
      </c>
      <c r="K7" s="1">
        <v>1.0934722222222222E-3</v>
      </c>
      <c r="L7">
        <v>1</v>
      </c>
      <c r="N7" s="4"/>
    </row>
    <row r="8" spans="1:14" x14ac:dyDescent="0.3">
      <c r="A8" t="s">
        <v>11</v>
      </c>
      <c r="B8">
        <v>7</v>
      </c>
      <c r="C8">
        <v>44</v>
      </c>
      <c r="D8" t="s">
        <v>23</v>
      </c>
      <c r="E8" t="s">
        <v>20</v>
      </c>
      <c r="F8">
        <v>9</v>
      </c>
      <c r="G8">
        <v>57</v>
      </c>
      <c r="H8">
        <v>50.323999999999998</v>
      </c>
      <c r="I8">
        <v>6</v>
      </c>
      <c r="J8" t="s">
        <v>2</v>
      </c>
      <c r="K8" s="1">
        <v>1.0963194444444445E-3</v>
      </c>
      <c r="L8">
        <v>1</v>
      </c>
      <c r="N8" s="4"/>
    </row>
    <row r="9" spans="1:14" x14ac:dyDescent="0.3">
      <c r="A9" t="s">
        <v>11</v>
      </c>
      <c r="B9">
        <v>8</v>
      </c>
      <c r="C9">
        <v>81</v>
      </c>
      <c r="D9" t="s">
        <v>24</v>
      </c>
      <c r="E9" t="s">
        <v>22</v>
      </c>
      <c r="F9">
        <v>8</v>
      </c>
      <c r="G9">
        <v>57</v>
      </c>
      <c r="H9">
        <v>56.082000000000001</v>
      </c>
      <c r="I9">
        <v>4</v>
      </c>
      <c r="J9" t="s">
        <v>2</v>
      </c>
      <c r="K9" s="1">
        <v>1.0993402777777779E-3</v>
      </c>
      <c r="L9">
        <v>1</v>
      </c>
      <c r="N9" s="4"/>
    </row>
    <row r="10" spans="1:14" x14ac:dyDescent="0.3">
      <c r="A10" t="s">
        <v>11</v>
      </c>
      <c r="B10">
        <v>9</v>
      </c>
      <c r="C10">
        <v>14</v>
      </c>
      <c r="D10" t="s">
        <v>25</v>
      </c>
      <c r="E10" t="s">
        <v>26</v>
      </c>
      <c r="F10">
        <v>6</v>
      </c>
      <c r="G10">
        <v>57</v>
      </c>
      <c r="H10">
        <v>74.887</v>
      </c>
      <c r="I10">
        <v>2</v>
      </c>
      <c r="J10" t="s">
        <v>2</v>
      </c>
      <c r="K10" s="1">
        <v>1.0902662037037038E-3</v>
      </c>
      <c r="L10">
        <v>1</v>
      </c>
      <c r="N10" s="4"/>
    </row>
    <row r="11" spans="1:14" x14ac:dyDescent="0.3">
      <c r="A11" t="s">
        <v>11</v>
      </c>
      <c r="B11">
        <v>10</v>
      </c>
      <c r="C11">
        <v>18</v>
      </c>
      <c r="D11" t="s">
        <v>27</v>
      </c>
      <c r="E11" t="s">
        <v>26</v>
      </c>
      <c r="F11">
        <v>12</v>
      </c>
      <c r="G11">
        <v>57</v>
      </c>
      <c r="H11">
        <v>93.215999999999994</v>
      </c>
      <c r="I11">
        <v>1</v>
      </c>
      <c r="J11" t="s">
        <v>2</v>
      </c>
      <c r="K11" s="1">
        <v>1.1068518518518519E-3</v>
      </c>
      <c r="L11">
        <v>1</v>
      </c>
      <c r="N11" s="4"/>
    </row>
    <row r="12" spans="1:14" x14ac:dyDescent="0.3">
      <c r="A12" t="s">
        <v>11</v>
      </c>
      <c r="B12">
        <v>11</v>
      </c>
      <c r="C12">
        <v>24</v>
      </c>
      <c r="D12" t="s">
        <v>28</v>
      </c>
      <c r="E12" t="s">
        <v>29</v>
      </c>
      <c r="F12">
        <v>17</v>
      </c>
      <c r="G12">
        <v>56</v>
      </c>
      <c r="H12" t="s">
        <v>30</v>
      </c>
      <c r="I12">
        <v>0</v>
      </c>
      <c r="J12" t="s">
        <v>2</v>
      </c>
      <c r="K12" s="1">
        <v>1.1048379629629628E-3</v>
      </c>
      <c r="L12">
        <v>1</v>
      </c>
      <c r="N12" s="4"/>
    </row>
    <row r="13" spans="1:14" x14ac:dyDescent="0.3">
      <c r="A13" t="s">
        <v>11</v>
      </c>
      <c r="B13">
        <v>12</v>
      </c>
      <c r="C13">
        <v>20</v>
      </c>
      <c r="D13" t="s">
        <v>31</v>
      </c>
      <c r="E13" t="s">
        <v>32</v>
      </c>
      <c r="F13">
        <v>15</v>
      </c>
      <c r="G13">
        <v>56</v>
      </c>
      <c r="H13" t="s">
        <v>30</v>
      </c>
      <c r="I13">
        <v>0</v>
      </c>
      <c r="J13" t="s">
        <v>2</v>
      </c>
      <c r="K13" s="1">
        <v>1.1061342592592592E-3</v>
      </c>
      <c r="L13">
        <v>1</v>
      </c>
      <c r="N13" s="4"/>
    </row>
    <row r="14" spans="1:14" x14ac:dyDescent="0.3">
      <c r="A14" t="s">
        <v>11</v>
      </c>
      <c r="B14">
        <v>13</v>
      </c>
      <c r="C14">
        <v>3</v>
      </c>
      <c r="D14" t="s">
        <v>33</v>
      </c>
      <c r="E14" t="s">
        <v>34</v>
      </c>
      <c r="F14">
        <v>14</v>
      </c>
      <c r="G14">
        <v>56</v>
      </c>
      <c r="H14" t="s">
        <v>30</v>
      </c>
      <c r="I14">
        <v>0</v>
      </c>
      <c r="J14" t="s">
        <v>2</v>
      </c>
      <c r="K14" s="1">
        <v>1.1014236111111112E-3</v>
      </c>
      <c r="L14">
        <v>1</v>
      </c>
      <c r="N14" s="4"/>
    </row>
    <row r="15" spans="1:14" x14ac:dyDescent="0.3">
      <c r="A15" t="s">
        <v>11</v>
      </c>
      <c r="B15">
        <v>14</v>
      </c>
      <c r="C15">
        <v>22</v>
      </c>
      <c r="D15" t="s">
        <v>35</v>
      </c>
      <c r="E15" t="s">
        <v>34</v>
      </c>
      <c r="F15">
        <v>11</v>
      </c>
      <c r="G15">
        <v>56</v>
      </c>
      <c r="H15" t="s">
        <v>30</v>
      </c>
      <c r="I15">
        <v>0</v>
      </c>
      <c r="J15" t="s">
        <v>2</v>
      </c>
      <c r="K15" s="1">
        <v>1.1091782407407407E-3</v>
      </c>
      <c r="L15">
        <v>1</v>
      </c>
      <c r="N15" s="4"/>
    </row>
    <row r="16" spans="1:14" x14ac:dyDescent="0.3">
      <c r="A16" t="s">
        <v>11</v>
      </c>
      <c r="B16">
        <v>15</v>
      </c>
      <c r="C16">
        <v>23</v>
      </c>
      <c r="D16" t="s">
        <v>36</v>
      </c>
      <c r="E16" t="s">
        <v>37</v>
      </c>
      <c r="F16">
        <v>13</v>
      </c>
      <c r="G16">
        <v>56</v>
      </c>
      <c r="H16" t="s">
        <v>30</v>
      </c>
      <c r="I16">
        <v>0</v>
      </c>
      <c r="J16" t="s">
        <v>2</v>
      </c>
      <c r="K16" s="1">
        <v>1.1079050925925926E-3</v>
      </c>
      <c r="L16">
        <v>1</v>
      </c>
      <c r="N16" s="4"/>
    </row>
    <row r="17" spans="1:14" x14ac:dyDescent="0.3">
      <c r="A17" t="s">
        <v>11</v>
      </c>
      <c r="B17">
        <v>16</v>
      </c>
      <c r="C17">
        <v>27</v>
      </c>
      <c r="D17" t="s">
        <v>38</v>
      </c>
      <c r="E17" t="s">
        <v>32</v>
      </c>
      <c r="F17">
        <v>10</v>
      </c>
      <c r="G17">
        <v>56</v>
      </c>
      <c r="H17" t="s">
        <v>30</v>
      </c>
      <c r="I17">
        <v>0</v>
      </c>
      <c r="J17" t="s">
        <v>2</v>
      </c>
      <c r="K17" s="1">
        <v>1.0976157407407408E-3</v>
      </c>
      <c r="L17">
        <v>1</v>
      </c>
      <c r="N17" s="4"/>
    </row>
    <row r="18" spans="1:14" x14ac:dyDescent="0.3">
      <c r="A18" t="s">
        <v>11</v>
      </c>
      <c r="B18">
        <v>17</v>
      </c>
      <c r="C18">
        <v>31</v>
      </c>
      <c r="D18" t="s">
        <v>39</v>
      </c>
      <c r="E18" t="s">
        <v>40</v>
      </c>
      <c r="F18">
        <v>19</v>
      </c>
      <c r="G18">
        <v>56</v>
      </c>
      <c r="H18" t="s">
        <v>30</v>
      </c>
      <c r="I18">
        <v>0</v>
      </c>
      <c r="J18" t="s">
        <v>2</v>
      </c>
      <c r="K18" s="1">
        <v>1.1137268518518519E-3</v>
      </c>
      <c r="L18">
        <v>1</v>
      </c>
      <c r="N18" s="4"/>
    </row>
    <row r="19" spans="1:14" x14ac:dyDescent="0.3">
      <c r="A19" t="s">
        <v>11</v>
      </c>
      <c r="B19">
        <v>18</v>
      </c>
      <c r="C19">
        <v>10</v>
      </c>
      <c r="D19" t="s">
        <v>41</v>
      </c>
      <c r="E19" t="s">
        <v>40</v>
      </c>
      <c r="F19">
        <v>20</v>
      </c>
      <c r="G19">
        <v>56</v>
      </c>
      <c r="H19" t="s">
        <v>30</v>
      </c>
      <c r="I19">
        <v>0</v>
      </c>
      <c r="J19" t="s">
        <v>2</v>
      </c>
      <c r="K19" s="1">
        <v>1.0972800925925926E-3</v>
      </c>
      <c r="L19">
        <v>1</v>
      </c>
      <c r="N19" s="4"/>
    </row>
    <row r="20" spans="1:14" x14ac:dyDescent="0.3">
      <c r="A20" t="s">
        <v>11</v>
      </c>
      <c r="B20">
        <v>19</v>
      </c>
      <c r="C20">
        <v>77</v>
      </c>
      <c r="D20" t="s">
        <v>42</v>
      </c>
      <c r="E20" t="s">
        <v>29</v>
      </c>
      <c r="F20">
        <v>16</v>
      </c>
      <c r="G20">
        <v>56</v>
      </c>
      <c r="H20" t="s">
        <v>30</v>
      </c>
      <c r="I20">
        <v>0</v>
      </c>
      <c r="J20" t="s">
        <v>2</v>
      </c>
      <c r="K20" s="1">
        <v>1.113449074074074E-3</v>
      </c>
      <c r="L20">
        <v>1</v>
      </c>
      <c r="N20" s="4"/>
    </row>
    <row r="21" spans="1:14" x14ac:dyDescent="0.3">
      <c r="A21" t="s">
        <v>11</v>
      </c>
      <c r="B21">
        <v>20</v>
      </c>
      <c r="C21">
        <v>2</v>
      </c>
      <c r="D21" t="s">
        <v>43</v>
      </c>
      <c r="E21" t="s">
        <v>37</v>
      </c>
      <c r="F21">
        <v>18</v>
      </c>
      <c r="G21">
        <v>55</v>
      </c>
      <c r="H21" t="s">
        <v>44</v>
      </c>
      <c r="I21">
        <v>0</v>
      </c>
      <c r="J21" t="s">
        <v>2</v>
      </c>
      <c r="K21" s="1">
        <v>1.0964699074074073E-3</v>
      </c>
      <c r="L21">
        <v>1</v>
      </c>
      <c r="N21" s="4"/>
    </row>
    <row r="22" spans="1:14" x14ac:dyDescent="0.3">
      <c r="A22" t="s">
        <v>45</v>
      </c>
      <c r="B22">
        <v>1</v>
      </c>
      <c r="C22">
        <v>1</v>
      </c>
      <c r="D22" t="s">
        <v>12</v>
      </c>
      <c r="E22" t="s">
        <v>13</v>
      </c>
      <c r="F22">
        <v>1</v>
      </c>
      <c r="G22">
        <v>50</v>
      </c>
      <c r="H22" s="1">
        <v>5.6056400462962966E-2</v>
      </c>
      <c r="I22">
        <v>25</v>
      </c>
      <c r="J22" t="s">
        <v>2</v>
      </c>
      <c r="K22" s="1">
        <v>1.0621875E-3</v>
      </c>
      <c r="L22">
        <f>L2+1</f>
        <v>2</v>
      </c>
      <c r="N22" s="4"/>
    </row>
    <row r="23" spans="1:14" x14ac:dyDescent="0.3">
      <c r="A23" t="s">
        <v>45</v>
      </c>
      <c r="B23">
        <v>2</v>
      </c>
      <c r="C23">
        <v>11</v>
      </c>
      <c r="D23" t="s">
        <v>15</v>
      </c>
      <c r="E23" t="s">
        <v>13</v>
      </c>
      <c r="F23">
        <v>3</v>
      </c>
      <c r="G23">
        <v>50</v>
      </c>
      <c r="H23">
        <v>13.643000000000001</v>
      </c>
      <c r="I23">
        <v>18</v>
      </c>
      <c r="J23" t="s">
        <v>2</v>
      </c>
      <c r="K23" s="1">
        <v>1.067974537037037E-3</v>
      </c>
      <c r="L23">
        <f t="shared" ref="L23:L86" si="0">L3+1</f>
        <v>2</v>
      </c>
      <c r="N23" s="4"/>
    </row>
    <row r="24" spans="1:14" x14ac:dyDescent="0.3">
      <c r="A24" t="s">
        <v>45</v>
      </c>
      <c r="B24">
        <v>3</v>
      </c>
      <c r="C24">
        <v>16</v>
      </c>
      <c r="D24" t="s">
        <v>18</v>
      </c>
      <c r="E24" t="s">
        <v>17</v>
      </c>
      <c r="F24">
        <v>2</v>
      </c>
      <c r="G24">
        <v>50</v>
      </c>
      <c r="H24">
        <v>18.638999999999999</v>
      </c>
      <c r="I24">
        <v>16</v>
      </c>
      <c r="J24" t="s">
        <v>14</v>
      </c>
      <c r="K24" s="1">
        <v>1.0605555555555557E-3</v>
      </c>
      <c r="L24">
        <f t="shared" si="0"/>
        <v>2</v>
      </c>
      <c r="N24" s="4"/>
    </row>
    <row r="25" spans="1:14" x14ac:dyDescent="0.3">
      <c r="A25" t="s">
        <v>45</v>
      </c>
      <c r="B25">
        <v>4</v>
      </c>
      <c r="C25">
        <v>81</v>
      </c>
      <c r="D25" t="s">
        <v>24</v>
      </c>
      <c r="E25" t="s">
        <v>22</v>
      </c>
      <c r="F25">
        <v>5</v>
      </c>
      <c r="G25">
        <v>50</v>
      </c>
      <c r="H25">
        <v>32.006999999999998</v>
      </c>
      <c r="I25">
        <v>12</v>
      </c>
      <c r="J25" t="s">
        <v>2</v>
      </c>
      <c r="K25" s="1">
        <v>1.0684027777777777E-3</v>
      </c>
      <c r="L25">
        <f t="shared" si="0"/>
        <v>2</v>
      </c>
      <c r="N25" s="4"/>
    </row>
    <row r="26" spans="1:14" x14ac:dyDescent="0.3">
      <c r="A26" t="s">
        <v>45</v>
      </c>
      <c r="B26">
        <v>5</v>
      </c>
      <c r="C26">
        <v>14</v>
      </c>
      <c r="D26" t="s">
        <v>25</v>
      </c>
      <c r="E26" t="s">
        <v>26</v>
      </c>
      <c r="F26">
        <v>4</v>
      </c>
      <c r="G26">
        <v>50</v>
      </c>
      <c r="H26">
        <v>35.759</v>
      </c>
      <c r="I26">
        <v>10</v>
      </c>
      <c r="J26" t="s">
        <v>2</v>
      </c>
      <c r="K26" s="1">
        <v>1.0692939814814814E-3</v>
      </c>
      <c r="L26">
        <f t="shared" si="0"/>
        <v>2</v>
      </c>
      <c r="N26" s="4"/>
    </row>
    <row r="27" spans="1:14" x14ac:dyDescent="0.3">
      <c r="A27" t="s">
        <v>45</v>
      </c>
      <c r="B27">
        <v>6</v>
      </c>
      <c r="C27">
        <v>63</v>
      </c>
      <c r="D27" t="s">
        <v>19</v>
      </c>
      <c r="E27" t="s">
        <v>20</v>
      </c>
      <c r="F27">
        <v>7</v>
      </c>
      <c r="G27">
        <v>50</v>
      </c>
      <c r="H27">
        <v>39.936</v>
      </c>
      <c r="I27">
        <v>8</v>
      </c>
      <c r="J27" t="s">
        <v>2</v>
      </c>
      <c r="K27" s="1">
        <v>1.0677546296296294E-3</v>
      </c>
      <c r="L27">
        <f t="shared" si="0"/>
        <v>2</v>
      </c>
    </row>
    <row r="28" spans="1:14" x14ac:dyDescent="0.3">
      <c r="A28" t="s">
        <v>45</v>
      </c>
      <c r="B28">
        <v>7</v>
      </c>
      <c r="C28">
        <v>38</v>
      </c>
      <c r="D28" t="s">
        <v>46</v>
      </c>
      <c r="E28" t="s">
        <v>17</v>
      </c>
      <c r="F28">
        <v>11</v>
      </c>
      <c r="G28">
        <v>50</v>
      </c>
      <c r="H28">
        <v>42.679000000000002</v>
      </c>
      <c r="I28">
        <v>6</v>
      </c>
      <c r="J28" t="s">
        <v>2</v>
      </c>
      <c r="K28" s="1">
        <v>1.0669675925925927E-3</v>
      </c>
      <c r="L28">
        <f t="shared" si="0"/>
        <v>2</v>
      </c>
    </row>
    <row r="29" spans="1:14" x14ac:dyDescent="0.3">
      <c r="A29" t="s">
        <v>45</v>
      </c>
      <c r="B29">
        <v>8</v>
      </c>
      <c r="C29">
        <v>4</v>
      </c>
      <c r="D29" t="s">
        <v>21</v>
      </c>
      <c r="E29" t="s">
        <v>22</v>
      </c>
      <c r="F29">
        <v>6</v>
      </c>
      <c r="G29">
        <v>50</v>
      </c>
      <c r="H29">
        <v>45.707999999999998</v>
      </c>
      <c r="I29">
        <v>4</v>
      </c>
      <c r="J29" t="s">
        <v>2</v>
      </c>
      <c r="K29" s="1">
        <v>1.0641666666666666E-3</v>
      </c>
      <c r="L29">
        <f t="shared" si="0"/>
        <v>2</v>
      </c>
    </row>
    <row r="30" spans="1:14" x14ac:dyDescent="0.3">
      <c r="A30" t="s">
        <v>45</v>
      </c>
      <c r="B30">
        <v>9</v>
      </c>
      <c r="C30">
        <v>44</v>
      </c>
      <c r="D30" t="s">
        <v>23</v>
      </c>
      <c r="E30" t="s">
        <v>20</v>
      </c>
      <c r="F30">
        <v>8</v>
      </c>
      <c r="G30">
        <v>50</v>
      </c>
      <c r="H30">
        <v>47.390999999999998</v>
      </c>
      <c r="I30">
        <v>2</v>
      </c>
      <c r="J30" t="s">
        <v>2</v>
      </c>
      <c r="K30" s="1">
        <v>1.0618749999999999E-3</v>
      </c>
      <c r="L30">
        <f t="shared" si="0"/>
        <v>2</v>
      </c>
    </row>
    <row r="31" spans="1:14" x14ac:dyDescent="0.3">
      <c r="A31" t="s">
        <v>45</v>
      </c>
      <c r="B31">
        <v>10</v>
      </c>
      <c r="C31">
        <v>27</v>
      </c>
      <c r="D31" t="s">
        <v>38</v>
      </c>
      <c r="E31" t="s">
        <v>32</v>
      </c>
      <c r="F31">
        <v>15</v>
      </c>
      <c r="G31">
        <v>50</v>
      </c>
      <c r="H31">
        <v>76.995999999999995</v>
      </c>
      <c r="I31">
        <v>1</v>
      </c>
      <c r="J31" t="s">
        <v>2</v>
      </c>
      <c r="K31" s="1">
        <v>1.069050925925926E-3</v>
      </c>
      <c r="L31">
        <f t="shared" si="0"/>
        <v>2</v>
      </c>
    </row>
    <row r="32" spans="1:14" x14ac:dyDescent="0.3">
      <c r="A32" t="s">
        <v>45</v>
      </c>
      <c r="B32">
        <v>11</v>
      </c>
      <c r="C32">
        <v>23</v>
      </c>
      <c r="D32" t="s">
        <v>36</v>
      </c>
      <c r="E32" t="s">
        <v>37</v>
      </c>
      <c r="F32">
        <v>12</v>
      </c>
      <c r="G32">
        <v>50</v>
      </c>
      <c r="H32">
        <v>88.353999999999999</v>
      </c>
      <c r="I32">
        <v>0</v>
      </c>
      <c r="J32" t="s">
        <v>2</v>
      </c>
      <c r="K32" s="1">
        <v>1.0683680555555555E-3</v>
      </c>
      <c r="L32">
        <f t="shared" si="0"/>
        <v>2</v>
      </c>
    </row>
    <row r="33" spans="1:12" x14ac:dyDescent="0.3">
      <c r="A33" t="s">
        <v>45</v>
      </c>
      <c r="B33">
        <v>12</v>
      </c>
      <c r="C33">
        <v>20</v>
      </c>
      <c r="D33" t="s">
        <v>31</v>
      </c>
      <c r="E33" t="s">
        <v>32</v>
      </c>
      <c r="F33">
        <v>13</v>
      </c>
      <c r="G33">
        <v>50</v>
      </c>
      <c r="H33">
        <v>105.73699999999999</v>
      </c>
      <c r="I33">
        <v>0</v>
      </c>
      <c r="J33" t="s">
        <v>2</v>
      </c>
      <c r="K33" s="1">
        <v>1.0687268518518517E-3</v>
      </c>
      <c r="L33">
        <f t="shared" si="0"/>
        <v>2</v>
      </c>
    </row>
    <row r="34" spans="1:12" x14ac:dyDescent="0.3">
      <c r="A34" t="s">
        <v>45</v>
      </c>
      <c r="B34">
        <v>13</v>
      </c>
      <c r="C34">
        <v>31</v>
      </c>
      <c r="D34" t="s">
        <v>39</v>
      </c>
      <c r="E34" t="s">
        <v>40</v>
      </c>
      <c r="F34">
        <v>17</v>
      </c>
      <c r="G34">
        <v>49</v>
      </c>
      <c r="H34" t="s">
        <v>30</v>
      </c>
      <c r="I34">
        <v>0</v>
      </c>
      <c r="J34" t="s">
        <v>2</v>
      </c>
      <c r="K34" s="1">
        <v>1.0819560185185186E-3</v>
      </c>
      <c r="L34">
        <f t="shared" si="0"/>
        <v>2</v>
      </c>
    </row>
    <row r="35" spans="1:12" x14ac:dyDescent="0.3">
      <c r="A35" t="s">
        <v>45</v>
      </c>
      <c r="B35">
        <v>14</v>
      </c>
      <c r="C35">
        <v>2</v>
      </c>
      <c r="D35" t="s">
        <v>43</v>
      </c>
      <c r="E35" t="s">
        <v>37</v>
      </c>
      <c r="F35">
        <v>19</v>
      </c>
      <c r="G35">
        <v>49</v>
      </c>
      <c r="H35" t="s">
        <v>30</v>
      </c>
      <c r="I35">
        <v>0</v>
      </c>
      <c r="J35" t="s">
        <v>2</v>
      </c>
      <c r="K35" s="1">
        <v>1.076689814814815E-3</v>
      </c>
      <c r="L35">
        <f t="shared" si="0"/>
        <v>2</v>
      </c>
    </row>
    <row r="36" spans="1:12" x14ac:dyDescent="0.3">
      <c r="A36" t="s">
        <v>45</v>
      </c>
      <c r="B36">
        <v>15</v>
      </c>
      <c r="C36">
        <v>22</v>
      </c>
      <c r="D36" t="s">
        <v>35</v>
      </c>
      <c r="E36" t="s">
        <v>34</v>
      </c>
      <c r="F36">
        <v>9</v>
      </c>
      <c r="G36">
        <v>49</v>
      </c>
      <c r="H36" t="s">
        <v>30</v>
      </c>
      <c r="I36">
        <v>0</v>
      </c>
      <c r="J36" t="s">
        <v>2</v>
      </c>
      <c r="K36" s="1">
        <v>1.0824421296296296E-3</v>
      </c>
      <c r="L36">
        <f t="shared" si="0"/>
        <v>2</v>
      </c>
    </row>
    <row r="37" spans="1:12" x14ac:dyDescent="0.3">
      <c r="A37" t="s">
        <v>45</v>
      </c>
      <c r="B37">
        <v>16</v>
      </c>
      <c r="C37">
        <v>3</v>
      </c>
      <c r="D37" t="s">
        <v>33</v>
      </c>
      <c r="E37" t="s">
        <v>34</v>
      </c>
      <c r="F37">
        <v>14</v>
      </c>
      <c r="G37">
        <v>49</v>
      </c>
      <c r="H37" t="s">
        <v>30</v>
      </c>
      <c r="I37">
        <v>0</v>
      </c>
      <c r="J37" t="s">
        <v>2</v>
      </c>
      <c r="K37" s="1">
        <v>1.0801273148148148E-3</v>
      </c>
      <c r="L37">
        <f t="shared" si="0"/>
        <v>2</v>
      </c>
    </row>
    <row r="38" spans="1:12" x14ac:dyDescent="0.3">
      <c r="A38" t="s">
        <v>45</v>
      </c>
      <c r="B38">
        <v>17</v>
      </c>
      <c r="C38">
        <v>77</v>
      </c>
      <c r="D38" t="s">
        <v>42</v>
      </c>
      <c r="E38" t="s">
        <v>29</v>
      </c>
      <c r="F38">
        <v>16</v>
      </c>
      <c r="G38">
        <v>49</v>
      </c>
      <c r="H38" t="s">
        <v>30</v>
      </c>
      <c r="I38">
        <v>0</v>
      </c>
      <c r="J38" t="s">
        <v>2</v>
      </c>
      <c r="K38" s="1">
        <v>1.0729861111111111E-3</v>
      </c>
      <c r="L38">
        <f t="shared" si="0"/>
        <v>2</v>
      </c>
    </row>
    <row r="39" spans="1:12" x14ac:dyDescent="0.3">
      <c r="A39" t="s">
        <v>45</v>
      </c>
      <c r="B39">
        <v>18</v>
      </c>
      <c r="C39">
        <v>24</v>
      </c>
      <c r="D39" t="s">
        <v>28</v>
      </c>
      <c r="E39" t="s">
        <v>29</v>
      </c>
      <c r="F39">
        <v>20</v>
      </c>
      <c r="G39">
        <v>49</v>
      </c>
      <c r="H39" t="s">
        <v>30</v>
      </c>
      <c r="I39">
        <v>0</v>
      </c>
      <c r="J39" t="s">
        <v>2</v>
      </c>
      <c r="K39" s="1">
        <v>1.0672222222222222E-3</v>
      </c>
      <c r="L39">
        <f t="shared" si="0"/>
        <v>2</v>
      </c>
    </row>
    <row r="40" spans="1:12" x14ac:dyDescent="0.3">
      <c r="A40" t="s">
        <v>45</v>
      </c>
      <c r="B40" t="s">
        <v>47</v>
      </c>
      <c r="C40">
        <v>18</v>
      </c>
      <c r="D40" t="s">
        <v>27</v>
      </c>
      <c r="E40" t="s">
        <v>26</v>
      </c>
      <c r="F40">
        <v>10</v>
      </c>
      <c r="G40">
        <v>5</v>
      </c>
      <c r="H40" t="s">
        <v>48</v>
      </c>
      <c r="I40">
        <v>0</v>
      </c>
      <c r="J40" t="s">
        <v>2</v>
      </c>
      <c r="K40" s="1">
        <v>1.1060185185185185E-3</v>
      </c>
      <c r="L40">
        <f t="shared" si="0"/>
        <v>2</v>
      </c>
    </row>
    <row r="41" spans="1:12" x14ac:dyDescent="0.3">
      <c r="A41" t="s">
        <v>45</v>
      </c>
      <c r="B41" t="s">
        <v>47</v>
      </c>
      <c r="C41">
        <v>10</v>
      </c>
      <c r="D41" t="s">
        <v>41</v>
      </c>
      <c r="E41" t="s">
        <v>40</v>
      </c>
      <c r="F41">
        <v>18</v>
      </c>
      <c r="G41">
        <v>1</v>
      </c>
      <c r="H41" t="s">
        <v>48</v>
      </c>
      <c r="I41">
        <v>0</v>
      </c>
      <c r="J41" t="s">
        <v>2</v>
      </c>
      <c r="L41">
        <f t="shared" si="0"/>
        <v>2</v>
      </c>
    </row>
    <row r="42" spans="1:12" x14ac:dyDescent="0.3">
      <c r="A42" t="s">
        <v>49</v>
      </c>
      <c r="B42">
        <v>1</v>
      </c>
      <c r="C42">
        <v>55</v>
      </c>
      <c r="D42" t="s">
        <v>16</v>
      </c>
      <c r="E42" t="s">
        <v>17</v>
      </c>
      <c r="F42">
        <v>2</v>
      </c>
      <c r="G42">
        <v>58</v>
      </c>
      <c r="H42" s="1">
        <v>5.5866238425925925E-2</v>
      </c>
      <c r="I42">
        <v>25</v>
      </c>
      <c r="J42" t="s">
        <v>2</v>
      </c>
      <c r="K42" s="1">
        <v>9.2628472222222233E-4</v>
      </c>
      <c r="L42">
        <f t="shared" si="0"/>
        <v>3</v>
      </c>
    </row>
    <row r="43" spans="1:12" x14ac:dyDescent="0.3">
      <c r="A43" t="s">
        <v>49</v>
      </c>
      <c r="B43">
        <v>2</v>
      </c>
      <c r="C43">
        <v>16</v>
      </c>
      <c r="D43" t="s">
        <v>18</v>
      </c>
      <c r="E43" t="s">
        <v>17</v>
      </c>
      <c r="F43">
        <v>4</v>
      </c>
      <c r="G43">
        <v>58</v>
      </c>
      <c r="H43">
        <v>2.3660000000000001</v>
      </c>
      <c r="I43">
        <v>19</v>
      </c>
      <c r="J43" t="s">
        <v>14</v>
      </c>
      <c r="K43" s="1">
        <v>9.2376157407407413E-4</v>
      </c>
      <c r="L43">
        <f t="shared" si="0"/>
        <v>3</v>
      </c>
    </row>
    <row r="44" spans="1:12" x14ac:dyDescent="0.3">
      <c r="A44" t="s">
        <v>49</v>
      </c>
      <c r="B44">
        <v>3</v>
      </c>
      <c r="C44">
        <v>4</v>
      </c>
      <c r="D44" t="s">
        <v>21</v>
      </c>
      <c r="E44" t="s">
        <v>22</v>
      </c>
      <c r="F44">
        <v>3</v>
      </c>
      <c r="G44">
        <v>58</v>
      </c>
      <c r="H44">
        <v>5.9039999999999999</v>
      </c>
      <c r="I44">
        <v>15</v>
      </c>
      <c r="J44" t="s">
        <v>2</v>
      </c>
      <c r="K44" s="1">
        <v>9.2494212962962951E-4</v>
      </c>
      <c r="L44">
        <f t="shared" si="0"/>
        <v>3</v>
      </c>
    </row>
    <row r="45" spans="1:12" x14ac:dyDescent="0.3">
      <c r="A45" t="s">
        <v>49</v>
      </c>
      <c r="B45">
        <v>4</v>
      </c>
      <c r="C45">
        <v>81</v>
      </c>
      <c r="D45" t="s">
        <v>24</v>
      </c>
      <c r="E45" t="s">
        <v>22</v>
      </c>
      <c r="F45">
        <v>5</v>
      </c>
      <c r="G45">
        <v>58</v>
      </c>
      <c r="H45">
        <v>35.770000000000003</v>
      </c>
      <c r="I45">
        <v>12</v>
      </c>
      <c r="J45" t="s">
        <v>2</v>
      </c>
      <c r="K45" s="1">
        <v>9.2822916666666661E-4</v>
      </c>
      <c r="L45">
        <f t="shared" si="0"/>
        <v>3</v>
      </c>
    </row>
    <row r="46" spans="1:12" x14ac:dyDescent="0.3">
      <c r="A46" t="s">
        <v>49</v>
      </c>
      <c r="B46">
        <v>5</v>
      </c>
      <c r="C46">
        <v>11</v>
      </c>
      <c r="D46" t="s">
        <v>15</v>
      </c>
      <c r="E46" t="s">
        <v>13</v>
      </c>
      <c r="F46">
        <v>6</v>
      </c>
      <c r="G46">
        <v>58</v>
      </c>
      <c r="H46">
        <v>56.308999999999997</v>
      </c>
      <c r="I46">
        <v>10</v>
      </c>
      <c r="J46" t="s">
        <v>2</v>
      </c>
      <c r="K46" s="1">
        <v>9.3041666666666674E-4</v>
      </c>
      <c r="L46">
        <f t="shared" si="0"/>
        <v>3</v>
      </c>
    </row>
    <row r="47" spans="1:12" x14ac:dyDescent="0.3">
      <c r="A47" t="s">
        <v>49</v>
      </c>
      <c r="B47">
        <v>6</v>
      </c>
      <c r="C47">
        <v>18</v>
      </c>
      <c r="D47" t="s">
        <v>27</v>
      </c>
      <c r="E47" t="s">
        <v>26</v>
      </c>
      <c r="F47">
        <v>9</v>
      </c>
      <c r="G47">
        <v>58</v>
      </c>
      <c r="H47">
        <v>93.221999999999994</v>
      </c>
      <c r="I47">
        <v>8</v>
      </c>
      <c r="J47" t="s">
        <v>2</v>
      </c>
      <c r="K47" s="1">
        <v>9.3668981481481489E-4</v>
      </c>
      <c r="L47">
        <f t="shared" si="0"/>
        <v>3</v>
      </c>
    </row>
    <row r="48" spans="1:12" x14ac:dyDescent="0.3">
      <c r="A48" t="s">
        <v>49</v>
      </c>
      <c r="B48">
        <v>7</v>
      </c>
      <c r="C48">
        <v>22</v>
      </c>
      <c r="D48" t="s">
        <v>35</v>
      </c>
      <c r="E48" t="s">
        <v>34</v>
      </c>
      <c r="F48">
        <v>8</v>
      </c>
      <c r="G48">
        <v>58</v>
      </c>
      <c r="H48">
        <v>95.600999999999999</v>
      </c>
      <c r="I48">
        <v>6</v>
      </c>
      <c r="J48" t="s">
        <v>2</v>
      </c>
      <c r="K48" s="1">
        <v>9.3905092592592597E-4</v>
      </c>
      <c r="L48">
        <f t="shared" si="0"/>
        <v>3</v>
      </c>
    </row>
    <row r="49" spans="1:12" x14ac:dyDescent="0.3">
      <c r="A49" t="s">
        <v>49</v>
      </c>
      <c r="B49">
        <v>8</v>
      </c>
      <c r="C49">
        <v>14</v>
      </c>
      <c r="D49" t="s">
        <v>25</v>
      </c>
      <c r="E49" t="s">
        <v>26</v>
      </c>
      <c r="F49">
        <v>10</v>
      </c>
      <c r="G49">
        <v>58</v>
      </c>
      <c r="H49">
        <v>100.992</v>
      </c>
      <c r="I49">
        <v>4</v>
      </c>
      <c r="J49" t="s">
        <v>2</v>
      </c>
      <c r="K49" s="1">
        <v>9.3163194444444435E-4</v>
      </c>
      <c r="L49">
        <f t="shared" si="0"/>
        <v>3</v>
      </c>
    </row>
    <row r="50" spans="1:12" x14ac:dyDescent="0.3">
      <c r="A50" t="s">
        <v>49</v>
      </c>
      <c r="B50">
        <v>9</v>
      </c>
      <c r="C50">
        <v>27</v>
      </c>
      <c r="D50" t="s">
        <v>38</v>
      </c>
      <c r="E50" t="s">
        <v>32</v>
      </c>
      <c r="F50">
        <v>16</v>
      </c>
      <c r="G50">
        <v>58</v>
      </c>
      <c r="H50">
        <v>104.553</v>
      </c>
      <c r="I50">
        <v>2</v>
      </c>
      <c r="J50" t="s">
        <v>2</v>
      </c>
      <c r="K50" s="1">
        <v>9.3917824074074064E-4</v>
      </c>
      <c r="L50">
        <f t="shared" si="0"/>
        <v>3</v>
      </c>
    </row>
    <row r="51" spans="1:12" x14ac:dyDescent="0.3">
      <c r="A51" t="s">
        <v>49</v>
      </c>
      <c r="B51">
        <v>10</v>
      </c>
      <c r="C51">
        <v>20</v>
      </c>
      <c r="D51" t="s">
        <v>31</v>
      </c>
      <c r="E51" t="s">
        <v>32</v>
      </c>
      <c r="F51">
        <v>14</v>
      </c>
      <c r="G51">
        <v>57</v>
      </c>
      <c r="H51" t="s">
        <v>30</v>
      </c>
      <c r="I51">
        <v>1</v>
      </c>
      <c r="J51" t="s">
        <v>2</v>
      </c>
      <c r="K51" s="1">
        <v>9.3844907407407397E-4</v>
      </c>
      <c r="L51">
        <f t="shared" si="0"/>
        <v>3</v>
      </c>
    </row>
    <row r="52" spans="1:12" x14ac:dyDescent="0.3">
      <c r="A52" t="s">
        <v>49</v>
      </c>
      <c r="B52">
        <v>11</v>
      </c>
      <c r="C52">
        <v>23</v>
      </c>
      <c r="D52" t="s">
        <v>36</v>
      </c>
      <c r="E52" t="s">
        <v>37</v>
      </c>
      <c r="F52">
        <v>12</v>
      </c>
      <c r="G52">
        <v>57</v>
      </c>
      <c r="H52" t="s">
        <v>30</v>
      </c>
      <c r="I52">
        <v>0</v>
      </c>
      <c r="J52" t="s">
        <v>2</v>
      </c>
      <c r="K52" s="1">
        <v>9.4465277777777776E-4</v>
      </c>
      <c r="L52">
        <f t="shared" si="0"/>
        <v>3</v>
      </c>
    </row>
    <row r="53" spans="1:12" x14ac:dyDescent="0.3">
      <c r="A53" t="s">
        <v>49</v>
      </c>
      <c r="B53">
        <v>12</v>
      </c>
      <c r="C53">
        <v>3</v>
      </c>
      <c r="D53" t="s">
        <v>33</v>
      </c>
      <c r="E53" t="s">
        <v>34</v>
      </c>
      <c r="F53">
        <v>18</v>
      </c>
      <c r="G53">
        <v>57</v>
      </c>
      <c r="H53" t="s">
        <v>30</v>
      </c>
      <c r="I53">
        <v>0</v>
      </c>
      <c r="J53" t="s">
        <v>2</v>
      </c>
      <c r="K53" s="1">
        <v>9.4026620370370379E-4</v>
      </c>
      <c r="L53">
        <f t="shared" si="0"/>
        <v>3</v>
      </c>
    </row>
    <row r="54" spans="1:12" x14ac:dyDescent="0.3">
      <c r="A54" t="s">
        <v>49</v>
      </c>
      <c r="B54">
        <v>13</v>
      </c>
      <c r="C54">
        <v>10</v>
      </c>
      <c r="D54" t="s">
        <v>41</v>
      </c>
      <c r="E54" t="s">
        <v>40</v>
      </c>
      <c r="F54">
        <v>17</v>
      </c>
      <c r="G54">
        <v>57</v>
      </c>
      <c r="H54" t="s">
        <v>30</v>
      </c>
      <c r="I54">
        <v>0</v>
      </c>
      <c r="J54" t="s">
        <v>2</v>
      </c>
      <c r="K54" s="1">
        <v>9.3854166666666673E-4</v>
      </c>
      <c r="L54">
        <f t="shared" si="0"/>
        <v>3</v>
      </c>
    </row>
    <row r="55" spans="1:12" x14ac:dyDescent="0.3">
      <c r="A55" t="s">
        <v>49</v>
      </c>
      <c r="B55">
        <v>14</v>
      </c>
      <c r="C55">
        <v>77</v>
      </c>
      <c r="D55" t="s">
        <v>42</v>
      </c>
      <c r="E55" t="s">
        <v>29</v>
      </c>
      <c r="F55">
        <v>13</v>
      </c>
      <c r="G55">
        <v>57</v>
      </c>
      <c r="H55" t="s">
        <v>30</v>
      </c>
      <c r="I55">
        <v>0</v>
      </c>
      <c r="J55" t="s">
        <v>2</v>
      </c>
      <c r="K55" s="1">
        <v>9.4238425925925924E-4</v>
      </c>
      <c r="L55">
        <f t="shared" si="0"/>
        <v>3</v>
      </c>
    </row>
    <row r="56" spans="1:12" x14ac:dyDescent="0.3">
      <c r="A56" t="s">
        <v>49</v>
      </c>
      <c r="B56">
        <v>15</v>
      </c>
      <c r="C56">
        <v>24</v>
      </c>
      <c r="D56" t="s">
        <v>28</v>
      </c>
      <c r="E56" t="s">
        <v>29</v>
      </c>
      <c r="F56">
        <v>19</v>
      </c>
      <c r="G56">
        <v>57</v>
      </c>
      <c r="H56" t="s">
        <v>30</v>
      </c>
      <c r="I56">
        <v>0</v>
      </c>
      <c r="J56" t="s">
        <v>2</v>
      </c>
      <c r="K56" s="1">
        <v>9.4128472222222215E-4</v>
      </c>
      <c r="L56">
        <f t="shared" si="0"/>
        <v>3</v>
      </c>
    </row>
    <row r="57" spans="1:12" x14ac:dyDescent="0.3">
      <c r="A57" t="s">
        <v>49</v>
      </c>
      <c r="B57">
        <v>16</v>
      </c>
      <c r="C57">
        <v>31</v>
      </c>
      <c r="D57" t="s">
        <v>39</v>
      </c>
      <c r="E57" t="s">
        <v>40</v>
      </c>
      <c r="F57">
        <v>15</v>
      </c>
      <c r="G57">
        <v>57</v>
      </c>
      <c r="H57" t="s">
        <v>30</v>
      </c>
      <c r="I57">
        <v>0</v>
      </c>
      <c r="J57" t="s">
        <v>2</v>
      </c>
      <c r="K57" s="1">
        <v>9.4159722222222225E-4</v>
      </c>
      <c r="L57">
        <f t="shared" si="0"/>
        <v>3</v>
      </c>
    </row>
    <row r="58" spans="1:12" x14ac:dyDescent="0.3">
      <c r="A58" t="s">
        <v>49</v>
      </c>
      <c r="B58">
        <v>17</v>
      </c>
      <c r="C58">
        <v>63</v>
      </c>
      <c r="D58" t="s">
        <v>19</v>
      </c>
      <c r="E58" t="s">
        <v>20</v>
      </c>
      <c r="F58">
        <v>7</v>
      </c>
      <c r="G58">
        <v>56</v>
      </c>
      <c r="H58" t="s">
        <v>48</v>
      </c>
      <c r="I58">
        <v>0</v>
      </c>
      <c r="J58" t="s">
        <v>2</v>
      </c>
      <c r="K58" s="1">
        <v>9.2921296296296285E-4</v>
      </c>
      <c r="L58">
        <f t="shared" si="0"/>
        <v>3</v>
      </c>
    </row>
    <row r="59" spans="1:12" x14ac:dyDescent="0.3">
      <c r="A59" t="s">
        <v>49</v>
      </c>
      <c r="B59" t="s">
        <v>47</v>
      </c>
      <c r="C59">
        <v>44</v>
      </c>
      <c r="D59" t="s">
        <v>23</v>
      </c>
      <c r="E59" t="s">
        <v>20</v>
      </c>
      <c r="F59">
        <v>11</v>
      </c>
      <c r="G59">
        <v>15</v>
      </c>
      <c r="H59" t="s">
        <v>48</v>
      </c>
      <c r="I59">
        <v>0</v>
      </c>
      <c r="J59" t="s">
        <v>2</v>
      </c>
      <c r="K59" s="1">
        <v>9.5421296296296302E-4</v>
      </c>
      <c r="L59">
        <f t="shared" si="0"/>
        <v>3</v>
      </c>
    </row>
    <row r="60" spans="1:12" x14ac:dyDescent="0.3">
      <c r="A60" t="s">
        <v>49</v>
      </c>
      <c r="B60" t="s">
        <v>47</v>
      </c>
      <c r="C60">
        <v>1</v>
      </c>
      <c r="D60" t="s">
        <v>12</v>
      </c>
      <c r="E60" t="s">
        <v>13</v>
      </c>
      <c r="F60">
        <v>1</v>
      </c>
      <c r="G60">
        <v>3</v>
      </c>
      <c r="H60" t="s">
        <v>48</v>
      </c>
      <c r="I60">
        <v>0</v>
      </c>
      <c r="J60" t="s">
        <v>2</v>
      </c>
      <c r="K60" s="1">
        <v>9.6197916666666665E-4</v>
      </c>
      <c r="L60">
        <f t="shared" si="0"/>
        <v>3</v>
      </c>
    </row>
    <row r="61" spans="1:12" x14ac:dyDescent="0.3">
      <c r="A61" t="s">
        <v>49</v>
      </c>
      <c r="B61" t="s">
        <v>63</v>
      </c>
      <c r="C61">
        <v>2</v>
      </c>
      <c r="D61" t="s">
        <v>43</v>
      </c>
      <c r="E61" t="s">
        <v>37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f t="shared" si="0"/>
        <v>3</v>
      </c>
    </row>
    <row r="62" spans="1:12" x14ac:dyDescent="0.3">
      <c r="A62" t="s">
        <v>50</v>
      </c>
      <c r="B62">
        <v>1</v>
      </c>
      <c r="C62">
        <v>1</v>
      </c>
      <c r="D62" t="s">
        <v>12</v>
      </c>
      <c r="E62" t="s">
        <v>13</v>
      </c>
      <c r="F62">
        <v>1</v>
      </c>
      <c r="G62">
        <v>53</v>
      </c>
      <c r="H62" s="1">
        <v>7.9439421296296289E-2</v>
      </c>
      <c r="I62">
        <v>26</v>
      </c>
      <c r="J62" t="s">
        <v>14</v>
      </c>
      <c r="K62" s="1">
        <v>1.0845601851851851E-3</v>
      </c>
      <c r="L62">
        <f t="shared" si="0"/>
        <v>4</v>
      </c>
    </row>
    <row r="63" spans="1:12" x14ac:dyDescent="0.3">
      <c r="A63" t="s">
        <v>50</v>
      </c>
      <c r="B63">
        <v>2</v>
      </c>
      <c r="C63">
        <v>11</v>
      </c>
      <c r="D63" t="s">
        <v>15</v>
      </c>
      <c r="E63" t="s">
        <v>13</v>
      </c>
      <c r="F63">
        <v>2</v>
      </c>
      <c r="G63">
        <v>53</v>
      </c>
      <c r="H63">
        <v>12.535</v>
      </c>
      <c r="I63">
        <v>18</v>
      </c>
      <c r="J63" t="s">
        <v>2</v>
      </c>
      <c r="K63" s="1">
        <v>1.0873263888888888E-3</v>
      </c>
      <c r="L63">
        <f t="shared" si="0"/>
        <v>4</v>
      </c>
    </row>
    <row r="64" spans="1:12" x14ac:dyDescent="0.3">
      <c r="A64" t="s">
        <v>50</v>
      </c>
      <c r="B64">
        <v>3</v>
      </c>
      <c r="C64">
        <v>55</v>
      </c>
      <c r="D64" t="s">
        <v>16</v>
      </c>
      <c r="E64" t="s">
        <v>17</v>
      </c>
      <c r="F64">
        <v>4</v>
      </c>
      <c r="G64">
        <v>53</v>
      </c>
      <c r="H64">
        <v>20.866</v>
      </c>
      <c r="I64">
        <v>15</v>
      </c>
      <c r="J64" t="s">
        <v>2</v>
      </c>
      <c r="K64" s="1">
        <v>1.0861226851851852E-3</v>
      </c>
      <c r="L64">
        <f t="shared" si="0"/>
        <v>4</v>
      </c>
    </row>
    <row r="65" spans="1:12" x14ac:dyDescent="0.3">
      <c r="A65" t="s">
        <v>50</v>
      </c>
      <c r="B65">
        <v>4</v>
      </c>
      <c r="C65">
        <v>16</v>
      </c>
      <c r="D65" t="s">
        <v>18</v>
      </c>
      <c r="E65" t="s">
        <v>17</v>
      </c>
      <c r="F65">
        <v>8</v>
      </c>
      <c r="G65">
        <v>53</v>
      </c>
      <c r="H65">
        <v>26.521999999999998</v>
      </c>
      <c r="I65">
        <v>12</v>
      </c>
      <c r="J65" t="s">
        <v>2</v>
      </c>
      <c r="K65" s="1">
        <v>1.1000462962962962E-3</v>
      </c>
      <c r="L65">
        <f t="shared" si="0"/>
        <v>4</v>
      </c>
    </row>
    <row r="66" spans="1:12" x14ac:dyDescent="0.3">
      <c r="A66" t="s">
        <v>50</v>
      </c>
      <c r="B66">
        <v>5</v>
      </c>
      <c r="C66">
        <v>4</v>
      </c>
      <c r="D66" t="s">
        <v>21</v>
      </c>
      <c r="E66" t="s">
        <v>22</v>
      </c>
      <c r="F66">
        <v>3</v>
      </c>
      <c r="G66">
        <v>53</v>
      </c>
      <c r="H66">
        <v>29.7</v>
      </c>
      <c r="I66">
        <v>10</v>
      </c>
      <c r="J66" t="s">
        <v>2</v>
      </c>
      <c r="K66" s="1">
        <v>1.1016898148148149E-3</v>
      </c>
      <c r="L66">
        <f t="shared" si="0"/>
        <v>4</v>
      </c>
    </row>
    <row r="67" spans="1:12" x14ac:dyDescent="0.3">
      <c r="A67" t="s">
        <v>50</v>
      </c>
      <c r="B67">
        <v>6</v>
      </c>
      <c r="C67">
        <v>14</v>
      </c>
      <c r="D67" t="s">
        <v>25</v>
      </c>
      <c r="E67" t="s">
        <v>26</v>
      </c>
      <c r="F67">
        <v>5</v>
      </c>
      <c r="G67">
        <v>53</v>
      </c>
      <c r="H67">
        <v>44.271999999999998</v>
      </c>
      <c r="I67">
        <v>8</v>
      </c>
      <c r="J67" t="s">
        <v>2</v>
      </c>
      <c r="K67" s="1">
        <v>1.0963657407407406E-3</v>
      </c>
      <c r="L67">
        <f t="shared" si="0"/>
        <v>4</v>
      </c>
    </row>
    <row r="68" spans="1:12" x14ac:dyDescent="0.3">
      <c r="A68" t="s">
        <v>50</v>
      </c>
      <c r="B68">
        <v>7</v>
      </c>
      <c r="C68">
        <v>63</v>
      </c>
      <c r="D68" t="s">
        <v>19</v>
      </c>
      <c r="E68" t="s">
        <v>20</v>
      </c>
      <c r="F68">
        <v>9</v>
      </c>
      <c r="G68">
        <v>53</v>
      </c>
      <c r="H68">
        <v>45.951000000000001</v>
      </c>
      <c r="I68">
        <v>6</v>
      </c>
      <c r="J68" t="s">
        <v>2</v>
      </c>
      <c r="K68" s="1">
        <v>1.0926388888888889E-3</v>
      </c>
      <c r="L68">
        <f t="shared" si="0"/>
        <v>4</v>
      </c>
    </row>
    <row r="69" spans="1:12" x14ac:dyDescent="0.3">
      <c r="A69" t="s">
        <v>50</v>
      </c>
      <c r="B69">
        <v>8</v>
      </c>
      <c r="C69">
        <v>81</v>
      </c>
      <c r="D69" t="s">
        <v>24</v>
      </c>
      <c r="E69" t="s">
        <v>22</v>
      </c>
      <c r="F69">
        <v>6</v>
      </c>
      <c r="G69">
        <v>53</v>
      </c>
      <c r="H69">
        <v>47.524999999999999</v>
      </c>
      <c r="I69">
        <v>4</v>
      </c>
      <c r="J69" t="s">
        <v>2</v>
      </c>
      <c r="K69" s="1">
        <v>1.0972453703703704E-3</v>
      </c>
      <c r="L69">
        <f t="shared" si="0"/>
        <v>4</v>
      </c>
    </row>
    <row r="70" spans="1:12" x14ac:dyDescent="0.3">
      <c r="A70" t="s">
        <v>50</v>
      </c>
      <c r="B70">
        <v>9</v>
      </c>
      <c r="C70">
        <v>44</v>
      </c>
      <c r="D70" t="s">
        <v>23</v>
      </c>
      <c r="E70" t="s">
        <v>20</v>
      </c>
      <c r="F70">
        <v>7</v>
      </c>
      <c r="G70">
        <v>53</v>
      </c>
      <c r="H70">
        <v>48.625999999999998</v>
      </c>
      <c r="I70">
        <v>2</v>
      </c>
      <c r="J70" t="s">
        <v>2</v>
      </c>
      <c r="K70" s="1">
        <v>1.0874074074074074E-3</v>
      </c>
      <c r="L70">
        <f t="shared" si="0"/>
        <v>4</v>
      </c>
    </row>
    <row r="71" spans="1:12" x14ac:dyDescent="0.3">
      <c r="A71" t="s">
        <v>50</v>
      </c>
      <c r="B71">
        <v>10</v>
      </c>
      <c r="C71">
        <v>22</v>
      </c>
      <c r="D71" t="s">
        <v>35</v>
      </c>
      <c r="E71" t="s">
        <v>34</v>
      </c>
      <c r="F71">
        <v>10</v>
      </c>
      <c r="G71">
        <v>52</v>
      </c>
      <c r="H71" t="s">
        <v>30</v>
      </c>
      <c r="I71">
        <v>1</v>
      </c>
      <c r="J71" t="s">
        <v>2</v>
      </c>
      <c r="K71" s="1">
        <v>1.1150694444444444E-3</v>
      </c>
      <c r="L71">
        <f t="shared" si="0"/>
        <v>4</v>
      </c>
    </row>
    <row r="72" spans="1:12" x14ac:dyDescent="0.3">
      <c r="A72" t="s">
        <v>50</v>
      </c>
      <c r="B72">
        <v>11</v>
      </c>
      <c r="C72">
        <v>27</v>
      </c>
      <c r="D72" t="s">
        <v>38</v>
      </c>
      <c r="E72" t="s">
        <v>32</v>
      </c>
      <c r="F72">
        <v>12</v>
      </c>
      <c r="G72">
        <v>52</v>
      </c>
      <c r="H72" t="s">
        <v>30</v>
      </c>
      <c r="I72">
        <v>0</v>
      </c>
      <c r="J72" t="s">
        <v>2</v>
      </c>
      <c r="K72" s="1">
        <v>1.1032986111111111E-3</v>
      </c>
      <c r="L72">
        <f t="shared" si="0"/>
        <v>4</v>
      </c>
    </row>
    <row r="73" spans="1:12" x14ac:dyDescent="0.3">
      <c r="A73" t="s">
        <v>50</v>
      </c>
      <c r="B73">
        <v>12</v>
      </c>
      <c r="C73">
        <v>18</v>
      </c>
      <c r="D73" t="s">
        <v>27</v>
      </c>
      <c r="E73" t="s">
        <v>26</v>
      </c>
      <c r="F73">
        <v>16</v>
      </c>
      <c r="G73">
        <v>52</v>
      </c>
      <c r="H73" t="s">
        <v>30</v>
      </c>
      <c r="I73">
        <v>0</v>
      </c>
      <c r="J73" t="s">
        <v>2</v>
      </c>
      <c r="K73" s="1">
        <v>1.1087731481481482E-3</v>
      </c>
      <c r="L73">
        <f t="shared" si="0"/>
        <v>4</v>
      </c>
    </row>
    <row r="74" spans="1:12" x14ac:dyDescent="0.3">
      <c r="A74" t="s">
        <v>50</v>
      </c>
      <c r="B74">
        <v>13</v>
      </c>
      <c r="C74">
        <v>20</v>
      </c>
      <c r="D74" t="s">
        <v>31</v>
      </c>
      <c r="E74" t="s">
        <v>32</v>
      </c>
      <c r="F74">
        <v>18</v>
      </c>
      <c r="G74">
        <v>52</v>
      </c>
      <c r="H74" t="s">
        <v>30</v>
      </c>
      <c r="I74">
        <v>0</v>
      </c>
      <c r="J74" t="s">
        <v>2</v>
      </c>
      <c r="K74" s="1">
        <v>1.1186805555555555E-3</v>
      </c>
      <c r="L74">
        <f t="shared" si="0"/>
        <v>4</v>
      </c>
    </row>
    <row r="75" spans="1:12" x14ac:dyDescent="0.3">
      <c r="A75" t="s">
        <v>50</v>
      </c>
      <c r="B75">
        <v>14</v>
      </c>
      <c r="C75">
        <v>77</v>
      </c>
      <c r="D75" t="s">
        <v>42</v>
      </c>
      <c r="E75" t="s">
        <v>29</v>
      </c>
      <c r="F75">
        <v>13</v>
      </c>
      <c r="G75">
        <v>52</v>
      </c>
      <c r="H75" t="s">
        <v>30</v>
      </c>
      <c r="I75">
        <v>0</v>
      </c>
      <c r="J75" t="s">
        <v>2</v>
      </c>
      <c r="K75" s="1">
        <v>1.1181481481481483E-3</v>
      </c>
      <c r="L75">
        <f t="shared" si="0"/>
        <v>4</v>
      </c>
    </row>
    <row r="76" spans="1:12" x14ac:dyDescent="0.3">
      <c r="A76" t="s">
        <v>50</v>
      </c>
      <c r="B76">
        <v>15</v>
      </c>
      <c r="C76">
        <v>31</v>
      </c>
      <c r="D76" t="s">
        <v>39</v>
      </c>
      <c r="E76" t="s">
        <v>40</v>
      </c>
      <c r="F76">
        <v>15</v>
      </c>
      <c r="G76">
        <v>52</v>
      </c>
      <c r="H76" t="s">
        <v>30</v>
      </c>
      <c r="I76">
        <v>0</v>
      </c>
      <c r="J76" t="s">
        <v>2</v>
      </c>
      <c r="K76" s="1">
        <v>1.1137962962962963E-3</v>
      </c>
      <c r="L76">
        <f t="shared" si="0"/>
        <v>4</v>
      </c>
    </row>
    <row r="77" spans="1:12" x14ac:dyDescent="0.3">
      <c r="A77" t="s">
        <v>50</v>
      </c>
      <c r="B77">
        <v>16</v>
      </c>
      <c r="C77">
        <v>10</v>
      </c>
      <c r="D77" t="s">
        <v>41</v>
      </c>
      <c r="E77" t="s">
        <v>40</v>
      </c>
      <c r="F77">
        <v>17</v>
      </c>
      <c r="G77">
        <v>52</v>
      </c>
      <c r="H77" t="s">
        <v>30</v>
      </c>
      <c r="I77">
        <v>0</v>
      </c>
      <c r="J77" t="s">
        <v>2</v>
      </c>
      <c r="K77" s="1">
        <v>1.1185416666666666E-3</v>
      </c>
      <c r="L77">
        <f t="shared" si="0"/>
        <v>4</v>
      </c>
    </row>
    <row r="78" spans="1:12" x14ac:dyDescent="0.3">
      <c r="A78" t="s">
        <v>50</v>
      </c>
      <c r="B78">
        <v>17</v>
      </c>
      <c r="C78">
        <v>2</v>
      </c>
      <c r="D78" t="s">
        <v>43</v>
      </c>
      <c r="E78" t="s">
        <v>37</v>
      </c>
      <c r="F78">
        <v>19</v>
      </c>
      <c r="G78">
        <v>52</v>
      </c>
      <c r="H78" t="s">
        <v>30</v>
      </c>
      <c r="I78">
        <v>0</v>
      </c>
      <c r="J78" t="s">
        <v>2</v>
      </c>
      <c r="K78" s="1">
        <v>1.0983796296296297E-3</v>
      </c>
      <c r="L78">
        <f t="shared" si="0"/>
        <v>4</v>
      </c>
    </row>
    <row r="79" spans="1:12" x14ac:dyDescent="0.3">
      <c r="A79" t="s">
        <v>50</v>
      </c>
      <c r="B79" t="s">
        <v>47</v>
      </c>
      <c r="C79">
        <v>24</v>
      </c>
      <c r="D79" t="s">
        <v>28</v>
      </c>
      <c r="E79" t="s">
        <v>29</v>
      </c>
      <c r="F79">
        <v>20</v>
      </c>
      <c r="G79">
        <v>12</v>
      </c>
      <c r="H79" t="s">
        <v>48</v>
      </c>
      <c r="I79">
        <v>0</v>
      </c>
      <c r="J79" t="s">
        <v>2</v>
      </c>
      <c r="K79" s="1">
        <v>1.124537037037037E-3</v>
      </c>
      <c r="L79">
        <f t="shared" si="0"/>
        <v>4</v>
      </c>
    </row>
    <row r="80" spans="1:12" x14ac:dyDescent="0.3">
      <c r="A80" t="s">
        <v>50</v>
      </c>
      <c r="B80" t="s">
        <v>47</v>
      </c>
      <c r="C80">
        <v>3</v>
      </c>
      <c r="D80" t="s">
        <v>33</v>
      </c>
      <c r="E80" t="s">
        <v>34</v>
      </c>
      <c r="F80">
        <v>11</v>
      </c>
      <c r="G80">
        <v>0</v>
      </c>
      <c r="H80" t="s">
        <v>48</v>
      </c>
      <c r="I80">
        <v>0</v>
      </c>
      <c r="J80" t="s">
        <v>2</v>
      </c>
      <c r="L80">
        <f t="shared" si="0"/>
        <v>4</v>
      </c>
    </row>
    <row r="81" spans="1:12" x14ac:dyDescent="0.3">
      <c r="A81" t="s">
        <v>50</v>
      </c>
      <c r="B81" t="s">
        <v>47</v>
      </c>
      <c r="C81">
        <v>23</v>
      </c>
      <c r="D81" t="s">
        <v>36</v>
      </c>
      <c r="E81" t="s">
        <v>37</v>
      </c>
      <c r="F81">
        <v>14</v>
      </c>
      <c r="G81">
        <v>0</v>
      </c>
      <c r="H81" t="s">
        <v>48</v>
      </c>
      <c r="I81">
        <v>0</v>
      </c>
      <c r="J81" t="s">
        <v>2</v>
      </c>
      <c r="L81">
        <f t="shared" si="0"/>
        <v>4</v>
      </c>
    </row>
    <row r="82" spans="1:12" x14ac:dyDescent="0.3">
      <c r="A82" t="s">
        <v>51</v>
      </c>
      <c r="B82">
        <v>1</v>
      </c>
      <c r="C82">
        <v>1</v>
      </c>
      <c r="D82" t="s">
        <v>12</v>
      </c>
      <c r="E82" t="s">
        <v>13</v>
      </c>
      <c r="F82">
        <v>1</v>
      </c>
      <c r="G82">
        <v>56</v>
      </c>
      <c r="H82" s="1">
        <v>7.0052708333333338E-2</v>
      </c>
      <c r="I82">
        <v>25</v>
      </c>
      <c r="J82" t="s">
        <v>2</v>
      </c>
      <c r="K82" s="1">
        <v>1.1389583333333334E-3</v>
      </c>
      <c r="L82">
        <f t="shared" si="0"/>
        <v>5</v>
      </c>
    </row>
    <row r="83" spans="1:12" x14ac:dyDescent="0.3">
      <c r="A83" t="s">
        <v>51</v>
      </c>
      <c r="B83">
        <v>2</v>
      </c>
      <c r="C83">
        <v>4</v>
      </c>
      <c r="D83" t="s">
        <v>21</v>
      </c>
      <c r="E83" t="s">
        <v>22</v>
      </c>
      <c r="F83">
        <v>4</v>
      </c>
      <c r="G83">
        <v>56</v>
      </c>
      <c r="H83">
        <v>13.773</v>
      </c>
      <c r="I83">
        <v>18</v>
      </c>
      <c r="J83" t="s">
        <v>2</v>
      </c>
      <c r="K83" s="1">
        <v>1.1429513888888889E-3</v>
      </c>
      <c r="L83">
        <f t="shared" si="0"/>
        <v>5</v>
      </c>
    </row>
    <row r="84" spans="1:12" x14ac:dyDescent="0.3">
      <c r="A84" t="s">
        <v>51</v>
      </c>
      <c r="B84">
        <v>3</v>
      </c>
      <c r="C84">
        <v>11</v>
      </c>
      <c r="D84" t="s">
        <v>15</v>
      </c>
      <c r="E84" t="s">
        <v>13</v>
      </c>
      <c r="F84">
        <v>2</v>
      </c>
      <c r="G84">
        <v>56</v>
      </c>
      <c r="H84">
        <v>19.16</v>
      </c>
      <c r="I84">
        <v>15</v>
      </c>
      <c r="J84" t="s">
        <v>2</v>
      </c>
      <c r="K84" s="1">
        <v>1.1503240740740742E-3</v>
      </c>
      <c r="L84">
        <f t="shared" si="0"/>
        <v>5</v>
      </c>
    </row>
    <row r="85" spans="1:12" x14ac:dyDescent="0.3">
      <c r="A85" t="s">
        <v>51</v>
      </c>
      <c r="B85">
        <v>4</v>
      </c>
      <c r="C85">
        <v>16</v>
      </c>
      <c r="D85" t="s">
        <v>18</v>
      </c>
      <c r="E85" t="s">
        <v>17</v>
      </c>
      <c r="F85">
        <v>6</v>
      </c>
      <c r="G85">
        <v>56</v>
      </c>
      <c r="H85">
        <v>23.623000000000001</v>
      </c>
      <c r="I85">
        <v>12</v>
      </c>
      <c r="J85" t="s">
        <v>2</v>
      </c>
      <c r="K85" s="1">
        <v>1.1502777777777778E-3</v>
      </c>
      <c r="L85">
        <f t="shared" si="0"/>
        <v>5</v>
      </c>
    </row>
    <row r="86" spans="1:12" x14ac:dyDescent="0.3">
      <c r="A86" t="s">
        <v>51</v>
      </c>
      <c r="B86">
        <v>5</v>
      </c>
      <c r="C86">
        <v>55</v>
      </c>
      <c r="D86" t="s">
        <v>16</v>
      </c>
      <c r="E86" t="s">
        <v>17</v>
      </c>
      <c r="F86">
        <v>7</v>
      </c>
      <c r="G86">
        <v>56</v>
      </c>
      <c r="H86">
        <v>33.982999999999997</v>
      </c>
      <c r="I86">
        <v>10</v>
      </c>
      <c r="J86" t="s">
        <v>2</v>
      </c>
      <c r="K86" s="1">
        <v>1.154675925925926E-3</v>
      </c>
      <c r="L86">
        <f t="shared" si="0"/>
        <v>5</v>
      </c>
    </row>
    <row r="87" spans="1:12" x14ac:dyDescent="0.3">
      <c r="A87" t="s">
        <v>51</v>
      </c>
      <c r="B87">
        <v>6</v>
      </c>
      <c r="C87">
        <v>63</v>
      </c>
      <c r="D87" t="s">
        <v>19</v>
      </c>
      <c r="E87" t="s">
        <v>20</v>
      </c>
      <c r="F87">
        <v>8</v>
      </c>
      <c r="G87">
        <v>56</v>
      </c>
      <c r="H87">
        <v>38.723999999999997</v>
      </c>
      <c r="I87">
        <v>8</v>
      </c>
      <c r="J87" t="s">
        <v>2</v>
      </c>
      <c r="K87" s="1">
        <v>1.1587037037037037E-3</v>
      </c>
      <c r="L87">
        <f t="shared" ref="L87:L150" si="1">L67+1</f>
        <v>5</v>
      </c>
    </row>
    <row r="88" spans="1:12" x14ac:dyDescent="0.3">
      <c r="A88" t="s">
        <v>51</v>
      </c>
      <c r="B88">
        <v>7</v>
      </c>
      <c r="C88">
        <v>14</v>
      </c>
      <c r="D88" t="s">
        <v>25</v>
      </c>
      <c r="E88" t="s">
        <v>26</v>
      </c>
      <c r="F88">
        <v>3</v>
      </c>
      <c r="G88">
        <v>56</v>
      </c>
      <c r="H88">
        <v>43.414000000000001</v>
      </c>
      <c r="I88">
        <v>7</v>
      </c>
      <c r="J88" t="s">
        <v>14</v>
      </c>
      <c r="K88" s="1">
        <v>1.1320601851851852E-3</v>
      </c>
      <c r="L88">
        <f t="shared" si="1"/>
        <v>5</v>
      </c>
    </row>
    <row r="89" spans="1:12" x14ac:dyDescent="0.3">
      <c r="A89" t="s">
        <v>51</v>
      </c>
      <c r="B89">
        <v>8</v>
      </c>
      <c r="C89">
        <v>81</v>
      </c>
      <c r="D89" t="s">
        <v>24</v>
      </c>
      <c r="E89" t="s">
        <v>22</v>
      </c>
      <c r="F89">
        <v>5</v>
      </c>
      <c r="G89">
        <v>56</v>
      </c>
      <c r="H89">
        <v>56.198</v>
      </c>
      <c r="I89">
        <v>4</v>
      </c>
      <c r="J89" t="s">
        <v>2</v>
      </c>
      <c r="K89" s="1">
        <v>1.1543865740740742E-3</v>
      </c>
      <c r="L89">
        <f t="shared" si="1"/>
        <v>5</v>
      </c>
    </row>
    <row r="90" spans="1:12" x14ac:dyDescent="0.3">
      <c r="A90" t="s">
        <v>51</v>
      </c>
      <c r="B90">
        <v>9</v>
      </c>
      <c r="C90">
        <v>44</v>
      </c>
      <c r="D90" t="s">
        <v>23</v>
      </c>
      <c r="E90" t="s">
        <v>20</v>
      </c>
      <c r="F90">
        <v>18</v>
      </c>
      <c r="G90">
        <v>56</v>
      </c>
      <c r="H90">
        <v>57.985999999999997</v>
      </c>
      <c r="I90">
        <v>2</v>
      </c>
      <c r="J90" t="s">
        <v>2</v>
      </c>
      <c r="K90" s="1">
        <v>1.1670717592592594E-3</v>
      </c>
      <c r="L90">
        <f t="shared" si="1"/>
        <v>5</v>
      </c>
    </row>
    <row r="91" spans="1:12" x14ac:dyDescent="0.3">
      <c r="A91" t="s">
        <v>51</v>
      </c>
      <c r="B91">
        <v>10</v>
      </c>
      <c r="C91">
        <v>27</v>
      </c>
      <c r="D91" t="s">
        <v>38</v>
      </c>
      <c r="E91" t="s">
        <v>32</v>
      </c>
      <c r="F91">
        <v>9</v>
      </c>
      <c r="G91">
        <v>56</v>
      </c>
      <c r="H91">
        <v>60.475999999999999</v>
      </c>
      <c r="I91">
        <v>1</v>
      </c>
      <c r="J91" t="s">
        <v>2</v>
      </c>
      <c r="K91" s="1">
        <v>1.1668402777777777E-3</v>
      </c>
      <c r="L91">
        <f t="shared" si="1"/>
        <v>5</v>
      </c>
    </row>
    <row r="92" spans="1:12" x14ac:dyDescent="0.3">
      <c r="A92" t="s">
        <v>51</v>
      </c>
      <c r="B92">
        <v>11</v>
      </c>
      <c r="C92">
        <v>31</v>
      </c>
      <c r="D92" t="s">
        <v>39</v>
      </c>
      <c r="E92" t="s">
        <v>40</v>
      </c>
      <c r="F92">
        <v>13</v>
      </c>
      <c r="G92">
        <v>56</v>
      </c>
      <c r="H92">
        <v>62.811999999999998</v>
      </c>
      <c r="I92">
        <v>0</v>
      </c>
      <c r="J92" t="s">
        <v>2</v>
      </c>
      <c r="K92" s="1">
        <v>1.1682523148148149E-3</v>
      </c>
      <c r="L92">
        <f t="shared" si="1"/>
        <v>5</v>
      </c>
    </row>
    <row r="93" spans="1:12" x14ac:dyDescent="0.3">
      <c r="A93" t="s">
        <v>51</v>
      </c>
      <c r="B93">
        <v>12</v>
      </c>
      <c r="C93">
        <v>23</v>
      </c>
      <c r="D93" t="s">
        <v>36</v>
      </c>
      <c r="E93" t="s">
        <v>37</v>
      </c>
      <c r="F93">
        <v>14</v>
      </c>
      <c r="G93">
        <v>56</v>
      </c>
      <c r="H93">
        <v>65.506</v>
      </c>
      <c r="I93">
        <v>0</v>
      </c>
      <c r="J93" t="s">
        <v>2</v>
      </c>
      <c r="K93" s="1">
        <v>1.1665509259259259E-3</v>
      </c>
      <c r="L93">
        <f t="shared" si="1"/>
        <v>5</v>
      </c>
    </row>
    <row r="94" spans="1:12" x14ac:dyDescent="0.3">
      <c r="A94" t="s">
        <v>51</v>
      </c>
      <c r="B94">
        <v>13</v>
      </c>
      <c r="C94">
        <v>10</v>
      </c>
      <c r="D94" t="s">
        <v>41</v>
      </c>
      <c r="E94" t="s">
        <v>40</v>
      </c>
      <c r="F94">
        <v>15</v>
      </c>
      <c r="G94">
        <v>56</v>
      </c>
      <c r="H94">
        <v>69.222999999999999</v>
      </c>
      <c r="I94">
        <v>0</v>
      </c>
      <c r="J94" t="s">
        <v>2</v>
      </c>
      <c r="K94" s="1">
        <v>1.1481250000000001E-3</v>
      </c>
      <c r="L94">
        <f t="shared" si="1"/>
        <v>5</v>
      </c>
    </row>
    <row r="95" spans="1:12" x14ac:dyDescent="0.3">
      <c r="A95" t="s">
        <v>51</v>
      </c>
      <c r="B95">
        <v>14</v>
      </c>
      <c r="C95">
        <v>24</v>
      </c>
      <c r="D95" t="s">
        <v>28</v>
      </c>
      <c r="E95" t="s">
        <v>29</v>
      </c>
      <c r="F95">
        <v>16</v>
      </c>
      <c r="G95">
        <v>56</v>
      </c>
      <c r="H95">
        <v>71.688999999999993</v>
      </c>
      <c r="I95">
        <v>0</v>
      </c>
      <c r="J95" t="s">
        <v>2</v>
      </c>
      <c r="K95" s="1">
        <v>1.1415856481481483E-3</v>
      </c>
      <c r="L95">
        <f t="shared" si="1"/>
        <v>5</v>
      </c>
    </row>
    <row r="96" spans="1:12" x14ac:dyDescent="0.3">
      <c r="A96" t="s">
        <v>51</v>
      </c>
      <c r="B96">
        <v>15</v>
      </c>
      <c r="C96">
        <v>18</v>
      </c>
      <c r="D96" t="s">
        <v>27</v>
      </c>
      <c r="E96" t="s">
        <v>26</v>
      </c>
      <c r="F96">
        <v>11</v>
      </c>
      <c r="G96">
        <v>56</v>
      </c>
      <c r="H96">
        <v>82.786000000000001</v>
      </c>
      <c r="I96">
        <v>0</v>
      </c>
      <c r="J96" t="s">
        <v>2</v>
      </c>
      <c r="K96" s="1">
        <v>1.1509722222222223E-3</v>
      </c>
      <c r="L96">
        <f t="shared" si="1"/>
        <v>5</v>
      </c>
    </row>
    <row r="97" spans="1:12" x14ac:dyDescent="0.3">
      <c r="A97" t="s">
        <v>51</v>
      </c>
      <c r="B97">
        <v>16</v>
      </c>
      <c r="C97">
        <v>20</v>
      </c>
      <c r="D97" t="s">
        <v>31</v>
      </c>
      <c r="E97" t="s">
        <v>32</v>
      </c>
      <c r="F97">
        <v>17</v>
      </c>
      <c r="G97">
        <v>56</v>
      </c>
      <c r="H97">
        <v>87.533000000000001</v>
      </c>
      <c r="I97">
        <v>0</v>
      </c>
      <c r="J97" t="s">
        <v>2</v>
      </c>
      <c r="K97" s="1">
        <v>1.1698726851851853E-3</v>
      </c>
      <c r="L97">
        <f t="shared" si="1"/>
        <v>5</v>
      </c>
    </row>
    <row r="98" spans="1:12" x14ac:dyDescent="0.3">
      <c r="A98" t="s">
        <v>51</v>
      </c>
      <c r="B98">
        <v>17</v>
      </c>
      <c r="C98">
        <v>2</v>
      </c>
      <c r="D98" t="s">
        <v>43</v>
      </c>
      <c r="E98" t="s">
        <v>37</v>
      </c>
      <c r="F98">
        <v>20</v>
      </c>
      <c r="G98">
        <v>56</v>
      </c>
      <c r="H98">
        <v>95.11</v>
      </c>
      <c r="I98">
        <v>0</v>
      </c>
      <c r="J98" t="s">
        <v>2</v>
      </c>
      <c r="K98" s="1">
        <v>1.1689814814814816E-3</v>
      </c>
      <c r="L98">
        <f t="shared" si="1"/>
        <v>5</v>
      </c>
    </row>
    <row r="99" spans="1:12" x14ac:dyDescent="0.3">
      <c r="A99" t="s">
        <v>51</v>
      </c>
      <c r="B99" t="s">
        <v>47</v>
      </c>
      <c r="C99">
        <v>3</v>
      </c>
      <c r="D99" t="s">
        <v>33</v>
      </c>
      <c r="E99" t="s">
        <v>34</v>
      </c>
      <c r="F99">
        <v>12</v>
      </c>
      <c r="G99">
        <v>33</v>
      </c>
      <c r="H99" t="s">
        <v>48</v>
      </c>
      <c r="I99">
        <v>0</v>
      </c>
      <c r="J99" t="s">
        <v>2</v>
      </c>
      <c r="K99" s="1">
        <v>1.1689120370370371E-3</v>
      </c>
      <c r="L99">
        <f t="shared" si="1"/>
        <v>5</v>
      </c>
    </row>
    <row r="100" spans="1:12" x14ac:dyDescent="0.3">
      <c r="A100" t="s">
        <v>51</v>
      </c>
      <c r="B100" t="s">
        <v>47</v>
      </c>
      <c r="C100">
        <v>22</v>
      </c>
      <c r="D100" t="s">
        <v>35</v>
      </c>
      <c r="E100" t="s">
        <v>34</v>
      </c>
      <c r="F100">
        <v>19</v>
      </c>
      <c r="G100">
        <v>26</v>
      </c>
      <c r="H100" t="s">
        <v>48</v>
      </c>
      <c r="I100">
        <v>0</v>
      </c>
      <c r="J100" t="s">
        <v>2</v>
      </c>
      <c r="K100" s="1">
        <v>1.1758449074074074E-3</v>
      </c>
      <c r="L100">
        <f t="shared" si="1"/>
        <v>5</v>
      </c>
    </row>
    <row r="101" spans="1:12" x14ac:dyDescent="0.3">
      <c r="A101" t="s">
        <v>51</v>
      </c>
      <c r="B101" t="s">
        <v>47</v>
      </c>
      <c r="C101">
        <v>77</v>
      </c>
      <c r="D101" t="s">
        <v>42</v>
      </c>
      <c r="E101" t="s">
        <v>29</v>
      </c>
      <c r="F101">
        <v>10</v>
      </c>
      <c r="G101">
        <v>19</v>
      </c>
      <c r="H101" t="s">
        <v>48</v>
      </c>
      <c r="I101">
        <v>0</v>
      </c>
      <c r="J101" t="s">
        <v>2</v>
      </c>
      <c r="K101" s="1">
        <v>1.1721759259259261E-3</v>
      </c>
      <c r="L101">
        <f t="shared" si="1"/>
        <v>5</v>
      </c>
    </row>
    <row r="102" spans="1:12" x14ac:dyDescent="0.3">
      <c r="A102" t="s">
        <v>52</v>
      </c>
      <c r="B102">
        <v>1</v>
      </c>
      <c r="C102">
        <v>4</v>
      </c>
      <c r="D102" t="s">
        <v>21</v>
      </c>
      <c r="E102" t="s">
        <v>22</v>
      </c>
      <c r="F102">
        <v>5</v>
      </c>
      <c r="G102">
        <v>57</v>
      </c>
      <c r="H102" s="1">
        <v>6.3077268518518526E-2</v>
      </c>
      <c r="I102">
        <v>25</v>
      </c>
      <c r="J102" t="s">
        <v>2</v>
      </c>
      <c r="K102" s="1">
        <v>1.0530092592592594E-3</v>
      </c>
      <c r="L102">
        <f t="shared" si="1"/>
        <v>6</v>
      </c>
    </row>
    <row r="103" spans="1:12" x14ac:dyDescent="0.3">
      <c r="A103" t="s">
        <v>52</v>
      </c>
      <c r="B103">
        <v>2</v>
      </c>
      <c r="C103">
        <v>1</v>
      </c>
      <c r="D103" t="s">
        <v>12</v>
      </c>
      <c r="E103" t="s">
        <v>13</v>
      </c>
      <c r="F103">
        <v>1</v>
      </c>
      <c r="G103">
        <v>57</v>
      </c>
      <c r="H103">
        <v>7.6120000000000001</v>
      </c>
      <c r="I103">
        <v>18</v>
      </c>
      <c r="J103" t="s">
        <v>2</v>
      </c>
      <c r="K103" s="1">
        <v>1.056261574074074E-3</v>
      </c>
      <c r="L103">
        <f t="shared" si="1"/>
        <v>6</v>
      </c>
    </row>
    <row r="104" spans="1:12" x14ac:dyDescent="0.3">
      <c r="A104" t="s">
        <v>52</v>
      </c>
      <c r="B104">
        <v>3</v>
      </c>
      <c r="C104">
        <v>16</v>
      </c>
      <c r="D104" t="s">
        <v>18</v>
      </c>
      <c r="E104" t="s">
        <v>17</v>
      </c>
      <c r="F104">
        <v>2</v>
      </c>
      <c r="G104">
        <v>57</v>
      </c>
      <c r="H104">
        <v>9.92</v>
      </c>
      <c r="I104">
        <v>15</v>
      </c>
      <c r="J104" t="s">
        <v>2</v>
      </c>
      <c r="K104" s="1">
        <v>1.054212962962963E-3</v>
      </c>
      <c r="L104">
        <f t="shared" si="1"/>
        <v>6</v>
      </c>
    </row>
    <row r="105" spans="1:12" x14ac:dyDescent="0.3">
      <c r="A105" t="s">
        <v>52</v>
      </c>
      <c r="B105">
        <v>4</v>
      </c>
      <c r="C105">
        <v>11</v>
      </c>
      <c r="D105" t="s">
        <v>15</v>
      </c>
      <c r="E105" t="s">
        <v>13</v>
      </c>
      <c r="F105">
        <v>4</v>
      </c>
      <c r="G105">
        <v>57</v>
      </c>
      <c r="H105">
        <v>14.65</v>
      </c>
      <c r="I105">
        <v>12</v>
      </c>
      <c r="J105" t="s">
        <v>2</v>
      </c>
      <c r="K105" s="1">
        <v>1.0515625E-3</v>
      </c>
      <c r="L105">
        <f t="shared" si="1"/>
        <v>6</v>
      </c>
    </row>
    <row r="106" spans="1:12" x14ac:dyDescent="0.3">
      <c r="A106" t="s">
        <v>52</v>
      </c>
      <c r="B106">
        <v>5</v>
      </c>
      <c r="C106">
        <v>55</v>
      </c>
      <c r="D106" t="s">
        <v>16</v>
      </c>
      <c r="E106" t="s">
        <v>17</v>
      </c>
      <c r="F106">
        <v>3</v>
      </c>
      <c r="G106">
        <v>57</v>
      </c>
      <c r="H106">
        <v>16.407</v>
      </c>
      <c r="I106">
        <v>10</v>
      </c>
      <c r="J106" t="s">
        <v>2</v>
      </c>
      <c r="K106" s="1">
        <v>1.0524074074074073E-3</v>
      </c>
      <c r="L106">
        <f t="shared" si="1"/>
        <v>6</v>
      </c>
    </row>
    <row r="107" spans="1:12" x14ac:dyDescent="0.3">
      <c r="A107" t="s">
        <v>52</v>
      </c>
      <c r="B107">
        <v>6</v>
      </c>
      <c r="C107">
        <v>44</v>
      </c>
      <c r="D107" t="s">
        <v>23</v>
      </c>
      <c r="E107" t="s">
        <v>20</v>
      </c>
      <c r="F107">
        <v>8</v>
      </c>
      <c r="G107">
        <v>57</v>
      </c>
      <c r="H107">
        <v>16.585000000000001</v>
      </c>
      <c r="I107">
        <v>8</v>
      </c>
      <c r="J107" t="s">
        <v>2</v>
      </c>
      <c r="K107" s="1">
        <v>1.0559375E-3</v>
      </c>
      <c r="L107">
        <f t="shared" si="1"/>
        <v>6</v>
      </c>
    </row>
    <row r="108" spans="1:12" x14ac:dyDescent="0.3">
      <c r="A108" t="s">
        <v>52</v>
      </c>
      <c r="B108">
        <v>7</v>
      </c>
      <c r="C108">
        <v>22</v>
      </c>
      <c r="D108" t="s">
        <v>35</v>
      </c>
      <c r="E108" t="s">
        <v>34</v>
      </c>
      <c r="F108">
        <v>10</v>
      </c>
      <c r="G108">
        <v>57</v>
      </c>
      <c r="H108">
        <v>26.184999999999999</v>
      </c>
      <c r="I108">
        <v>6</v>
      </c>
      <c r="J108" t="s">
        <v>2</v>
      </c>
      <c r="K108" s="1">
        <v>1.0611342592592593E-3</v>
      </c>
      <c r="L108">
        <f t="shared" si="1"/>
        <v>6</v>
      </c>
    </row>
    <row r="109" spans="1:12" x14ac:dyDescent="0.3">
      <c r="A109" t="s">
        <v>52</v>
      </c>
      <c r="B109">
        <v>8</v>
      </c>
      <c r="C109">
        <v>63</v>
      </c>
      <c r="D109" t="s">
        <v>19</v>
      </c>
      <c r="E109" t="s">
        <v>20</v>
      </c>
      <c r="F109">
        <v>7</v>
      </c>
      <c r="G109">
        <v>57</v>
      </c>
      <c r="H109">
        <v>34.789000000000001</v>
      </c>
      <c r="I109">
        <v>4</v>
      </c>
      <c r="J109" t="s">
        <v>2</v>
      </c>
      <c r="K109" s="1">
        <v>1.0639004629629629E-3</v>
      </c>
      <c r="L109">
        <f t="shared" si="1"/>
        <v>6</v>
      </c>
    </row>
    <row r="110" spans="1:12" x14ac:dyDescent="0.3">
      <c r="A110" t="s">
        <v>52</v>
      </c>
      <c r="B110">
        <v>9</v>
      </c>
      <c r="C110">
        <v>14</v>
      </c>
      <c r="D110" t="s">
        <v>25</v>
      </c>
      <c r="E110" t="s">
        <v>26</v>
      </c>
      <c r="F110">
        <v>15</v>
      </c>
      <c r="G110">
        <v>57</v>
      </c>
      <c r="H110">
        <v>37.106999999999999</v>
      </c>
      <c r="I110">
        <v>2</v>
      </c>
      <c r="J110" t="s">
        <v>2</v>
      </c>
      <c r="K110" s="1">
        <v>1.0616550925925926E-3</v>
      </c>
      <c r="L110">
        <f t="shared" si="1"/>
        <v>6</v>
      </c>
    </row>
    <row r="111" spans="1:12" x14ac:dyDescent="0.3">
      <c r="A111" t="s">
        <v>52</v>
      </c>
      <c r="B111">
        <v>10</v>
      </c>
      <c r="C111">
        <v>31</v>
      </c>
      <c r="D111" t="s">
        <v>39</v>
      </c>
      <c r="E111" t="s">
        <v>40</v>
      </c>
      <c r="F111">
        <v>13</v>
      </c>
      <c r="G111">
        <v>57</v>
      </c>
      <c r="H111">
        <v>39.746000000000002</v>
      </c>
      <c r="I111">
        <v>1</v>
      </c>
      <c r="J111" t="s">
        <v>2</v>
      </c>
      <c r="K111" s="1">
        <v>1.0652430555555556E-3</v>
      </c>
      <c r="L111">
        <f t="shared" si="1"/>
        <v>6</v>
      </c>
    </row>
    <row r="112" spans="1:12" x14ac:dyDescent="0.3">
      <c r="A112" t="s">
        <v>52</v>
      </c>
      <c r="B112">
        <v>11</v>
      </c>
      <c r="C112">
        <v>27</v>
      </c>
      <c r="D112" t="s">
        <v>38</v>
      </c>
      <c r="E112" t="s">
        <v>32</v>
      </c>
      <c r="F112">
        <v>9</v>
      </c>
      <c r="G112">
        <v>57</v>
      </c>
      <c r="H112">
        <v>40.789000000000001</v>
      </c>
      <c r="I112">
        <v>0</v>
      </c>
      <c r="J112" t="s">
        <v>2</v>
      </c>
      <c r="K112" s="1">
        <v>1.0641319444444444E-3</v>
      </c>
      <c r="L112">
        <f t="shared" si="1"/>
        <v>6</v>
      </c>
    </row>
    <row r="113" spans="1:12" x14ac:dyDescent="0.3">
      <c r="A113" t="s">
        <v>52</v>
      </c>
      <c r="B113">
        <v>12</v>
      </c>
      <c r="C113">
        <v>10</v>
      </c>
      <c r="D113" t="s">
        <v>41</v>
      </c>
      <c r="E113" t="s">
        <v>40</v>
      </c>
      <c r="F113">
        <v>12</v>
      </c>
      <c r="G113">
        <v>57</v>
      </c>
      <c r="H113">
        <v>44.957999999999998</v>
      </c>
      <c r="I113">
        <v>0</v>
      </c>
      <c r="J113" t="s">
        <v>2</v>
      </c>
      <c r="K113" s="1">
        <v>1.065451388888889E-3</v>
      </c>
      <c r="L113">
        <f t="shared" si="1"/>
        <v>6</v>
      </c>
    </row>
    <row r="114" spans="1:12" x14ac:dyDescent="0.3">
      <c r="A114" t="s">
        <v>52</v>
      </c>
      <c r="B114">
        <v>13</v>
      </c>
      <c r="C114">
        <v>81</v>
      </c>
      <c r="D114" t="s">
        <v>24</v>
      </c>
      <c r="E114" t="s">
        <v>22</v>
      </c>
      <c r="F114">
        <v>6</v>
      </c>
      <c r="G114">
        <v>57</v>
      </c>
      <c r="H114">
        <v>49.756</v>
      </c>
      <c r="I114">
        <v>0</v>
      </c>
      <c r="J114" t="s">
        <v>14</v>
      </c>
      <c r="K114" s="1">
        <v>1.0490046296296295E-3</v>
      </c>
      <c r="L114">
        <f t="shared" si="1"/>
        <v>6</v>
      </c>
    </row>
    <row r="115" spans="1:12" x14ac:dyDescent="0.3">
      <c r="A115" t="s">
        <v>52</v>
      </c>
      <c r="B115">
        <v>14</v>
      </c>
      <c r="C115">
        <v>24</v>
      </c>
      <c r="D115" t="s">
        <v>28</v>
      </c>
      <c r="E115" t="s">
        <v>29</v>
      </c>
      <c r="F115">
        <v>19</v>
      </c>
      <c r="G115">
        <v>57</v>
      </c>
      <c r="H115">
        <v>49.978999999999999</v>
      </c>
      <c r="I115">
        <v>0</v>
      </c>
      <c r="J115" t="s">
        <v>2</v>
      </c>
      <c r="K115" s="1">
        <v>1.0647106481481482E-3</v>
      </c>
      <c r="L115">
        <f t="shared" si="1"/>
        <v>6</v>
      </c>
    </row>
    <row r="116" spans="1:12" x14ac:dyDescent="0.3">
      <c r="A116" t="s">
        <v>52</v>
      </c>
      <c r="B116">
        <v>15</v>
      </c>
      <c r="C116">
        <v>3</v>
      </c>
      <c r="D116" t="s">
        <v>33</v>
      </c>
      <c r="E116" t="s">
        <v>34</v>
      </c>
      <c r="F116">
        <v>20</v>
      </c>
      <c r="G116">
        <v>57</v>
      </c>
      <c r="H116">
        <v>50.956000000000003</v>
      </c>
      <c r="I116">
        <v>0</v>
      </c>
      <c r="J116" t="s">
        <v>2</v>
      </c>
      <c r="K116" s="1">
        <v>1.0662268518518518E-3</v>
      </c>
      <c r="L116">
        <f t="shared" si="1"/>
        <v>6</v>
      </c>
    </row>
    <row r="117" spans="1:12" x14ac:dyDescent="0.3">
      <c r="A117" t="s">
        <v>52</v>
      </c>
      <c r="B117">
        <v>16</v>
      </c>
      <c r="C117">
        <v>77</v>
      </c>
      <c r="D117" t="s">
        <v>42</v>
      </c>
      <c r="E117" t="s">
        <v>29</v>
      </c>
      <c r="F117">
        <v>16</v>
      </c>
      <c r="G117">
        <v>57</v>
      </c>
      <c r="H117">
        <v>52.356000000000002</v>
      </c>
      <c r="I117">
        <v>0</v>
      </c>
      <c r="J117" t="s">
        <v>2</v>
      </c>
      <c r="K117" s="1">
        <v>1.065949074074074E-3</v>
      </c>
      <c r="L117">
        <f t="shared" si="1"/>
        <v>6</v>
      </c>
    </row>
    <row r="118" spans="1:12" x14ac:dyDescent="0.3">
      <c r="A118" t="s">
        <v>52</v>
      </c>
      <c r="B118">
        <v>17</v>
      </c>
      <c r="C118">
        <v>18</v>
      </c>
      <c r="D118" t="s">
        <v>27</v>
      </c>
      <c r="E118" t="s">
        <v>26</v>
      </c>
      <c r="F118">
        <v>11</v>
      </c>
      <c r="G118">
        <v>57</v>
      </c>
      <c r="H118">
        <v>55.173000000000002</v>
      </c>
      <c r="I118">
        <v>0</v>
      </c>
      <c r="J118" t="s">
        <v>2</v>
      </c>
      <c r="K118" s="1">
        <v>1.0600462962962961E-3</v>
      </c>
      <c r="L118">
        <f t="shared" si="1"/>
        <v>6</v>
      </c>
    </row>
    <row r="119" spans="1:12" x14ac:dyDescent="0.3">
      <c r="A119" t="s">
        <v>52</v>
      </c>
      <c r="B119">
        <v>18</v>
      </c>
      <c r="C119">
        <v>23</v>
      </c>
      <c r="D119" t="s">
        <v>36</v>
      </c>
      <c r="E119" t="s">
        <v>37</v>
      </c>
      <c r="F119">
        <v>14</v>
      </c>
      <c r="G119">
        <v>57</v>
      </c>
      <c r="H119">
        <v>76.090999999999994</v>
      </c>
      <c r="I119">
        <v>0</v>
      </c>
      <c r="J119" t="s">
        <v>2</v>
      </c>
      <c r="K119" s="1">
        <v>1.0514930555555555E-3</v>
      </c>
      <c r="L119">
        <f t="shared" si="1"/>
        <v>6</v>
      </c>
    </row>
    <row r="120" spans="1:12" x14ac:dyDescent="0.3">
      <c r="A120" t="s">
        <v>52</v>
      </c>
      <c r="B120">
        <v>19</v>
      </c>
      <c r="C120">
        <v>20</v>
      </c>
      <c r="D120" t="s">
        <v>31</v>
      </c>
      <c r="E120" t="s">
        <v>32</v>
      </c>
      <c r="F120">
        <v>18</v>
      </c>
      <c r="G120">
        <v>57</v>
      </c>
      <c r="H120">
        <v>84.683000000000007</v>
      </c>
      <c r="I120">
        <v>0</v>
      </c>
      <c r="J120" t="s">
        <v>2</v>
      </c>
      <c r="K120" s="1">
        <v>1.0621990740740741E-3</v>
      </c>
      <c r="L120">
        <f t="shared" si="1"/>
        <v>6</v>
      </c>
    </row>
    <row r="121" spans="1:12" x14ac:dyDescent="0.3">
      <c r="A121" t="s">
        <v>52</v>
      </c>
      <c r="B121" t="s">
        <v>47</v>
      </c>
      <c r="C121">
        <v>2</v>
      </c>
      <c r="D121" t="s">
        <v>43</v>
      </c>
      <c r="E121" t="s">
        <v>37</v>
      </c>
      <c r="F121">
        <v>17</v>
      </c>
      <c r="G121">
        <v>27</v>
      </c>
      <c r="H121" t="s">
        <v>48</v>
      </c>
      <c r="I121">
        <v>0</v>
      </c>
      <c r="J121" t="s">
        <v>2</v>
      </c>
      <c r="K121" s="1">
        <v>1.0816203703703704E-3</v>
      </c>
      <c r="L121">
        <f t="shared" si="1"/>
        <v>6</v>
      </c>
    </row>
    <row r="122" spans="1:12" x14ac:dyDescent="0.3">
      <c r="A122" t="s">
        <v>53</v>
      </c>
      <c r="B122">
        <v>1</v>
      </c>
      <c r="C122">
        <v>1</v>
      </c>
      <c r="D122" t="s">
        <v>12</v>
      </c>
      <c r="E122" t="s">
        <v>13</v>
      </c>
      <c r="F122">
        <v>1</v>
      </c>
      <c r="G122">
        <v>63</v>
      </c>
      <c r="H122" s="1">
        <v>5.9320046296296301E-2</v>
      </c>
      <c r="I122">
        <v>25</v>
      </c>
      <c r="J122" t="s">
        <v>2</v>
      </c>
      <c r="K122" s="1">
        <v>9.3016203703703707E-4</v>
      </c>
      <c r="L122">
        <f t="shared" si="1"/>
        <v>7</v>
      </c>
    </row>
    <row r="123" spans="1:12" x14ac:dyDescent="0.3">
      <c r="A123" t="s">
        <v>53</v>
      </c>
      <c r="B123">
        <v>2</v>
      </c>
      <c r="C123">
        <v>4</v>
      </c>
      <c r="D123" t="s">
        <v>21</v>
      </c>
      <c r="E123" t="s">
        <v>22</v>
      </c>
      <c r="F123">
        <v>2</v>
      </c>
      <c r="G123">
        <v>63</v>
      </c>
      <c r="H123">
        <v>0.72499999999999998</v>
      </c>
      <c r="I123">
        <v>18</v>
      </c>
      <c r="J123" t="s">
        <v>2</v>
      </c>
      <c r="K123" s="1">
        <v>9.258564814814815E-4</v>
      </c>
      <c r="L123">
        <f t="shared" si="1"/>
        <v>7</v>
      </c>
    </row>
    <row r="124" spans="1:12" x14ac:dyDescent="0.3">
      <c r="A124" t="s">
        <v>53</v>
      </c>
      <c r="B124">
        <v>3</v>
      </c>
      <c r="C124">
        <v>16</v>
      </c>
      <c r="D124" t="s">
        <v>18</v>
      </c>
      <c r="E124" t="s">
        <v>17</v>
      </c>
      <c r="F124">
        <v>3</v>
      </c>
      <c r="G124">
        <v>63</v>
      </c>
      <c r="H124">
        <v>7.9160000000000004</v>
      </c>
      <c r="I124">
        <v>15</v>
      </c>
      <c r="J124" t="s">
        <v>2</v>
      </c>
      <c r="K124" s="1">
        <v>9.251736111111111E-4</v>
      </c>
      <c r="L124">
        <f t="shared" si="1"/>
        <v>7</v>
      </c>
    </row>
    <row r="125" spans="1:12" x14ac:dyDescent="0.3">
      <c r="A125" t="s">
        <v>53</v>
      </c>
      <c r="B125">
        <v>4</v>
      </c>
      <c r="C125">
        <v>81</v>
      </c>
      <c r="D125" t="s">
        <v>24</v>
      </c>
      <c r="E125" t="s">
        <v>22</v>
      </c>
      <c r="F125">
        <v>5</v>
      </c>
      <c r="G125">
        <v>63</v>
      </c>
      <c r="H125">
        <v>14.132</v>
      </c>
      <c r="I125">
        <v>12</v>
      </c>
      <c r="J125" t="s">
        <v>2</v>
      </c>
      <c r="K125" s="1">
        <v>9.2484953703703696E-4</v>
      </c>
      <c r="L125">
        <f t="shared" si="1"/>
        <v>7</v>
      </c>
    </row>
    <row r="126" spans="1:12" x14ac:dyDescent="0.3">
      <c r="A126" t="s">
        <v>53</v>
      </c>
      <c r="B126">
        <v>5</v>
      </c>
      <c r="C126">
        <v>55</v>
      </c>
      <c r="D126" t="s">
        <v>16</v>
      </c>
      <c r="E126" t="s">
        <v>17</v>
      </c>
      <c r="F126">
        <v>4</v>
      </c>
      <c r="G126">
        <v>63</v>
      </c>
      <c r="H126">
        <v>22.324999999999999</v>
      </c>
      <c r="I126">
        <v>10</v>
      </c>
      <c r="J126" t="s">
        <v>2</v>
      </c>
      <c r="K126" s="1">
        <v>9.2847222222222224E-4</v>
      </c>
      <c r="L126">
        <f t="shared" si="1"/>
        <v>7</v>
      </c>
    </row>
    <row r="127" spans="1:12" x14ac:dyDescent="0.3">
      <c r="A127" t="s">
        <v>53</v>
      </c>
      <c r="B127">
        <v>6</v>
      </c>
      <c r="C127">
        <v>44</v>
      </c>
      <c r="D127" t="s">
        <v>23</v>
      </c>
      <c r="E127" t="s">
        <v>20</v>
      </c>
      <c r="F127">
        <v>8</v>
      </c>
      <c r="G127">
        <v>63</v>
      </c>
      <c r="H127">
        <v>35.103999999999999</v>
      </c>
      <c r="I127">
        <v>8</v>
      </c>
      <c r="J127" t="s">
        <v>2</v>
      </c>
      <c r="K127" s="1">
        <v>9.2975694444444453E-4</v>
      </c>
      <c r="L127">
        <f t="shared" si="1"/>
        <v>7</v>
      </c>
    </row>
    <row r="128" spans="1:12" x14ac:dyDescent="0.3">
      <c r="A128" t="s">
        <v>53</v>
      </c>
      <c r="B128">
        <v>7</v>
      </c>
      <c r="C128">
        <v>63</v>
      </c>
      <c r="D128" t="s">
        <v>19</v>
      </c>
      <c r="E128" t="s">
        <v>20</v>
      </c>
      <c r="F128">
        <v>6</v>
      </c>
      <c r="G128">
        <v>63</v>
      </c>
      <c r="H128">
        <v>47.154000000000003</v>
      </c>
      <c r="I128">
        <v>7</v>
      </c>
      <c r="J128" t="s">
        <v>14</v>
      </c>
      <c r="K128" s="1">
        <v>9.0959490740740736E-4</v>
      </c>
      <c r="L128">
        <f t="shared" si="1"/>
        <v>7</v>
      </c>
    </row>
    <row r="129" spans="1:12" x14ac:dyDescent="0.3">
      <c r="A129" t="s">
        <v>53</v>
      </c>
      <c r="B129">
        <v>8</v>
      </c>
      <c r="C129">
        <v>11</v>
      </c>
      <c r="D129" t="s">
        <v>15</v>
      </c>
      <c r="E129" t="s">
        <v>13</v>
      </c>
      <c r="F129">
        <v>11</v>
      </c>
      <c r="G129">
        <v>63</v>
      </c>
      <c r="H129">
        <v>54.776000000000003</v>
      </c>
      <c r="I129">
        <v>4</v>
      </c>
      <c r="J129" t="s">
        <v>2</v>
      </c>
      <c r="K129" s="1">
        <v>9.2229166666666675E-4</v>
      </c>
      <c r="L129">
        <f t="shared" si="1"/>
        <v>7</v>
      </c>
    </row>
    <row r="130" spans="1:12" x14ac:dyDescent="0.3">
      <c r="A130" t="s">
        <v>53</v>
      </c>
      <c r="B130">
        <v>9</v>
      </c>
      <c r="C130">
        <v>18</v>
      </c>
      <c r="D130" t="s">
        <v>27</v>
      </c>
      <c r="E130" t="s">
        <v>26</v>
      </c>
      <c r="F130">
        <v>13</v>
      </c>
      <c r="G130">
        <v>63</v>
      </c>
      <c r="H130">
        <v>79.555999999999997</v>
      </c>
      <c r="I130">
        <v>2</v>
      </c>
      <c r="J130" t="s">
        <v>2</v>
      </c>
      <c r="K130" s="1">
        <v>9.3252314814814804E-4</v>
      </c>
      <c r="L130">
        <f t="shared" si="1"/>
        <v>7</v>
      </c>
    </row>
    <row r="131" spans="1:12" x14ac:dyDescent="0.3">
      <c r="A131" t="s">
        <v>53</v>
      </c>
      <c r="B131">
        <v>10</v>
      </c>
      <c r="C131">
        <v>22</v>
      </c>
      <c r="D131" t="s">
        <v>35</v>
      </c>
      <c r="E131" t="s">
        <v>34</v>
      </c>
      <c r="F131">
        <v>7</v>
      </c>
      <c r="G131">
        <v>62</v>
      </c>
      <c r="H131" t="s">
        <v>30</v>
      </c>
      <c r="I131">
        <v>1</v>
      </c>
      <c r="J131" t="s">
        <v>2</v>
      </c>
      <c r="K131" s="1">
        <v>9.3675925925925936E-4</v>
      </c>
      <c r="L131">
        <f t="shared" si="1"/>
        <v>7</v>
      </c>
    </row>
    <row r="132" spans="1:12" x14ac:dyDescent="0.3">
      <c r="A132" t="s">
        <v>53</v>
      </c>
      <c r="B132">
        <v>11</v>
      </c>
      <c r="C132">
        <v>27</v>
      </c>
      <c r="D132" t="s">
        <v>38</v>
      </c>
      <c r="E132" t="s">
        <v>32</v>
      </c>
      <c r="F132">
        <v>10</v>
      </c>
      <c r="G132">
        <v>62</v>
      </c>
      <c r="H132" t="s">
        <v>30</v>
      </c>
      <c r="I132">
        <v>0</v>
      </c>
      <c r="J132" t="s">
        <v>2</v>
      </c>
      <c r="K132" s="1">
        <v>9.4560185185185188E-4</v>
      </c>
      <c r="L132">
        <f t="shared" si="1"/>
        <v>7</v>
      </c>
    </row>
    <row r="133" spans="1:12" x14ac:dyDescent="0.3">
      <c r="A133" t="s">
        <v>53</v>
      </c>
      <c r="B133">
        <v>12</v>
      </c>
      <c r="C133">
        <v>20</v>
      </c>
      <c r="D133" t="s">
        <v>31</v>
      </c>
      <c r="E133" t="s">
        <v>32</v>
      </c>
      <c r="F133">
        <v>18</v>
      </c>
      <c r="G133">
        <v>62</v>
      </c>
      <c r="H133" t="s">
        <v>30</v>
      </c>
      <c r="I133">
        <v>0</v>
      </c>
      <c r="J133" t="s">
        <v>2</v>
      </c>
      <c r="K133" s="1">
        <v>9.3760416666666666E-4</v>
      </c>
      <c r="L133">
        <f t="shared" si="1"/>
        <v>7</v>
      </c>
    </row>
    <row r="134" spans="1:12" x14ac:dyDescent="0.3">
      <c r="A134" t="s">
        <v>53</v>
      </c>
      <c r="B134">
        <v>13</v>
      </c>
      <c r="C134">
        <v>3</v>
      </c>
      <c r="D134" t="s">
        <v>33</v>
      </c>
      <c r="E134" t="s">
        <v>34</v>
      </c>
      <c r="F134">
        <v>9</v>
      </c>
      <c r="G134">
        <v>62</v>
      </c>
      <c r="H134" t="s">
        <v>30</v>
      </c>
      <c r="I134">
        <v>0</v>
      </c>
      <c r="J134" t="s">
        <v>2</v>
      </c>
      <c r="K134" s="1">
        <v>9.4408564814814821E-4</v>
      </c>
      <c r="L134">
        <f t="shared" si="1"/>
        <v>7</v>
      </c>
    </row>
    <row r="135" spans="1:12" x14ac:dyDescent="0.3">
      <c r="A135" t="s">
        <v>53</v>
      </c>
      <c r="B135">
        <v>14</v>
      </c>
      <c r="C135">
        <v>31</v>
      </c>
      <c r="D135" t="s">
        <v>39</v>
      </c>
      <c r="E135" t="s">
        <v>40</v>
      </c>
      <c r="F135">
        <v>12</v>
      </c>
      <c r="G135">
        <v>62</v>
      </c>
      <c r="H135" t="s">
        <v>30</v>
      </c>
      <c r="I135">
        <v>0</v>
      </c>
      <c r="J135" t="s">
        <v>2</v>
      </c>
      <c r="K135" s="1">
        <v>9.4101851851851855E-4</v>
      </c>
      <c r="L135">
        <f t="shared" si="1"/>
        <v>7</v>
      </c>
    </row>
    <row r="136" spans="1:12" x14ac:dyDescent="0.3">
      <c r="A136" t="s">
        <v>53</v>
      </c>
      <c r="B136">
        <v>15</v>
      </c>
      <c r="C136">
        <v>24</v>
      </c>
      <c r="D136" t="s">
        <v>28</v>
      </c>
      <c r="E136" t="s">
        <v>29</v>
      </c>
      <c r="F136">
        <v>17</v>
      </c>
      <c r="G136">
        <v>62</v>
      </c>
      <c r="H136" t="s">
        <v>30</v>
      </c>
      <c r="I136">
        <v>0</v>
      </c>
      <c r="J136" t="s">
        <v>2</v>
      </c>
      <c r="K136" s="1">
        <v>9.3768518518518506E-4</v>
      </c>
      <c r="L136">
        <f t="shared" si="1"/>
        <v>7</v>
      </c>
    </row>
    <row r="137" spans="1:12" x14ac:dyDescent="0.3">
      <c r="A137" t="s">
        <v>53</v>
      </c>
      <c r="B137">
        <v>16</v>
      </c>
      <c r="C137">
        <v>10</v>
      </c>
      <c r="D137" t="s">
        <v>41</v>
      </c>
      <c r="E137" t="s">
        <v>40</v>
      </c>
      <c r="F137">
        <v>15</v>
      </c>
      <c r="G137">
        <v>62</v>
      </c>
      <c r="H137" t="s">
        <v>30</v>
      </c>
      <c r="I137">
        <v>0</v>
      </c>
      <c r="J137" t="s">
        <v>2</v>
      </c>
      <c r="K137" s="1">
        <v>9.4179398148148139E-4</v>
      </c>
      <c r="L137">
        <f t="shared" si="1"/>
        <v>7</v>
      </c>
    </row>
    <row r="138" spans="1:12" x14ac:dyDescent="0.3">
      <c r="A138" t="s">
        <v>53</v>
      </c>
      <c r="B138">
        <v>17</v>
      </c>
      <c r="C138">
        <v>2</v>
      </c>
      <c r="D138" t="s">
        <v>43</v>
      </c>
      <c r="E138" t="s">
        <v>37</v>
      </c>
      <c r="F138">
        <v>19</v>
      </c>
      <c r="G138">
        <v>62</v>
      </c>
      <c r="H138" t="s">
        <v>30</v>
      </c>
      <c r="I138">
        <v>0</v>
      </c>
      <c r="J138" t="s">
        <v>2</v>
      </c>
      <c r="K138" s="1">
        <v>9.4015046296296294E-4</v>
      </c>
      <c r="L138">
        <f t="shared" si="1"/>
        <v>7</v>
      </c>
    </row>
    <row r="139" spans="1:12" x14ac:dyDescent="0.3">
      <c r="A139" t="s">
        <v>53</v>
      </c>
      <c r="B139">
        <v>18</v>
      </c>
      <c r="C139">
        <v>77</v>
      </c>
      <c r="D139" t="s">
        <v>42</v>
      </c>
      <c r="E139" t="s">
        <v>29</v>
      </c>
      <c r="F139">
        <v>16</v>
      </c>
      <c r="G139">
        <v>62</v>
      </c>
      <c r="H139" t="s">
        <v>30</v>
      </c>
      <c r="I139">
        <v>0</v>
      </c>
      <c r="J139" t="s">
        <v>2</v>
      </c>
      <c r="K139" s="1">
        <v>9.4276620370370369E-4</v>
      </c>
      <c r="L139">
        <f t="shared" si="1"/>
        <v>7</v>
      </c>
    </row>
    <row r="140" spans="1:12" x14ac:dyDescent="0.3">
      <c r="A140" t="s">
        <v>53</v>
      </c>
      <c r="B140">
        <v>19</v>
      </c>
      <c r="C140">
        <v>14</v>
      </c>
      <c r="D140" t="s">
        <v>25</v>
      </c>
      <c r="E140" t="s">
        <v>26</v>
      </c>
      <c r="F140">
        <v>20</v>
      </c>
      <c r="G140">
        <v>62</v>
      </c>
      <c r="H140" t="s">
        <v>30</v>
      </c>
      <c r="I140">
        <v>0</v>
      </c>
      <c r="J140" t="s">
        <v>2</v>
      </c>
      <c r="K140" s="1">
        <v>9.1439814814814823E-4</v>
      </c>
      <c r="L140">
        <f t="shared" si="1"/>
        <v>7</v>
      </c>
    </row>
    <row r="141" spans="1:12" x14ac:dyDescent="0.3">
      <c r="A141" t="s">
        <v>53</v>
      </c>
      <c r="B141" t="s">
        <v>47</v>
      </c>
      <c r="C141">
        <v>23</v>
      </c>
      <c r="D141" t="s">
        <v>36</v>
      </c>
      <c r="E141" t="s">
        <v>37</v>
      </c>
      <c r="F141">
        <v>14</v>
      </c>
      <c r="G141">
        <v>51</v>
      </c>
      <c r="H141" t="s">
        <v>48</v>
      </c>
      <c r="I141">
        <v>0</v>
      </c>
      <c r="J141" t="s">
        <v>2</v>
      </c>
      <c r="K141" s="1">
        <v>9.4067129629629633E-4</v>
      </c>
      <c r="L141">
        <f t="shared" si="1"/>
        <v>7</v>
      </c>
    </row>
    <row r="142" spans="1:12" x14ac:dyDescent="0.3">
      <c r="A142" t="s">
        <v>54</v>
      </c>
      <c r="B142">
        <v>1</v>
      </c>
      <c r="C142">
        <v>16</v>
      </c>
      <c r="D142" t="s">
        <v>18</v>
      </c>
      <c r="E142" t="s">
        <v>17</v>
      </c>
      <c r="F142">
        <v>1</v>
      </c>
      <c r="G142">
        <v>78</v>
      </c>
      <c r="H142" s="1">
        <v>9.9485578703703711E-2</v>
      </c>
      <c r="I142">
        <v>25</v>
      </c>
      <c r="J142" t="s">
        <v>2</v>
      </c>
      <c r="K142" s="1">
        <v>8.6993055555555565E-4</v>
      </c>
      <c r="L142">
        <f t="shared" si="1"/>
        <v>8</v>
      </c>
    </row>
    <row r="143" spans="1:12" x14ac:dyDescent="0.3">
      <c r="A143" t="s">
        <v>54</v>
      </c>
      <c r="B143">
        <v>2</v>
      </c>
      <c r="C143">
        <v>81</v>
      </c>
      <c r="D143" t="s">
        <v>24</v>
      </c>
      <c r="E143" t="s">
        <v>22</v>
      </c>
      <c r="F143">
        <v>2</v>
      </c>
      <c r="G143">
        <v>78</v>
      </c>
      <c r="H143">
        <v>7.1520000000000001</v>
      </c>
      <c r="I143">
        <v>18</v>
      </c>
      <c r="J143" t="s">
        <v>2</v>
      </c>
      <c r="K143" s="1">
        <v>8.8288194444444449E-4</v>
      </c>
      <c r="L143">
        <f t="shared" si="1"/>
        <v>8</v>
      </c>
    </row>
    <row r="144" spans="1:12" x14ac:dyDescent="0.3">
      <c r="A144" t="s">
        <v>54</v>
      </c>
      <c r="B144">
        <v>3</v>
      </c>
      <c r="C144">
        <v>55</v>
      </c>
      <c r="D144" t="s">
        <v>16</v>
      </c>
      <c r="E144" t="s">
        <v>17</v>
      </c>
      <c r="F144">
        <v>3</v>
      </c>
      <c r="G144">
        <v>78</v>
      </c>
      <c r="H144">
        <v>7.585</v>
      </c>
      <c r="I144">
        <v>15</v>
      </c>
      <c r="J144" t="s">
        <v>2</v>
      </c>
      <c r="K144" s="1">
        <v>8.6488425925925925E-4</v>
      </c>
      <c r="L144">
        <f t="shared" si="1"/>
        <v>8</v>
      </c>
    </row>
    <row r="145" spans="1:12" x14ac:dyDescent="0.3">
      <c r="A145" t="s">
        <v>54</v>
      </c>
      <c r="B145">
        <v>4</v>
      </c>
      <c r="C145">
        <v>4</v>
      </c>
      <c r="D145" t="s">
        <v>21</v>
      </c>
      <c r="E145" t="s">
        <v>22</v>
      </c>
      <c r="F145">
        <v>4</v>
      </c>
      <c r="G145">
        <v>78</v>
      </c>
      <c r="H145">
        <v>8.65</v>
      </c>
      <c r="I145">
        <v>12</v>
      </c>
      <c r="J145" t="s">
        <v>2</v>
      </c>
      <c r="K145" s="1">
        <v>8.7664351851851857E-4</v>
      </c>
      <c r="L145">
        <f t="shared" si="1"/>
        <v>8</v>
      </c>
    </row>
    <row r="146" spans="1:12" x14ac:dyDescent="0.3">
      <c r="A146" t="s">
        <v>54</v>
      </c>
      <c r="B146">
        <v>5</v>
      </c>
      <c r="C146">
        <v>63</v>
      </c>
      <c r="D146" t="s">
        <v>19</v>
      </c>
      <c r="E146" t="s">
        <v>20</v>
      </c>
      <c r="F146">
        <v>5</v>
      </c>
      <c r="G146">
        <v>78</v>
      </c>
      <c r="H146">
        <v>13.308999999999999</v>
      </c>
      <c r="I146">
        <v>10</v>
      </c>
      <c r="J146" t="s">
        <v>2</v>
      </c>
      <c r="K146" s="1">
        <v>8.7069444444444434E-4</v>
      </c>
      <c r="L146">
        <f t="shared" si="1"/>
        <v>8</v>
      </c>
    </row>
    <row r="147" spans="1:12" x14ac:dyDescent="0.3">
      <c r="A147" t="s">
        <v>54</v>
      </c>
      <c r="B147">
        <v>6</v>
      </c>
      <c r="C147">
        <v>1</v>
      </c>
      <c r="D147" t="s">
        <v>12</v>
      </c>
      <c r="E147" t="s">
        <v>13</v>
      </c>
      <c r="F147">
        <v>6</v>
      </c>
      <c r="G147">
        <v>78</v>
      </c>
      <c r="H147">
        <v>13.853</v>
      </c>
      <c r="I147">
        <v>8</v>
      </c>
      <c r="J147" t="s">
        <v>2</v>
      </c>
      <c r="K147" s="1">
        <v>8.6306712962962964E-4</v>
      </c>
      <c r="L147">
        <f t="shared" si="1"/>
        <v>8</v>
      </c>
    </row>
    <row r="148" spans="1:12" x14ac:dyDescent="0.3">
      <c r="A148" t="s">
        <v>54</v>
      </c>
      <c r="B148">
        <v>7</v>
      </c>
      <c r="C148">
        <v>44</v>
      </c>
      <c r="D148" t="s">
        <v>23</v>
      </c>
      <c r="E148" t="s">
        <v>20</v>
      </c>
      <c r="F148">
        <v>7</v>
      </c>
      <c r="G148">
        <v>78</v>
      </c>
      <c r="H148">
        <v>14.907999999999999</v>
      </c>
      <c r="I148">
        <v>7</v>
      </c>
      <c r="J148" t="s">
        <v>14</v>
      </c>
      <c r="K148" s="1">
        <v>8.5839120370370366E-4</v>
      </c>
      <c r="L148">
        <f t="shared" si="1"/>
        <v>8</v>
      </c>
    </row>
    <row r="149" spans="1:12" x14ac:dyDescent="0.3">
      <c r="A149" t="s">
        <v>54</v>
      </c>
      <c r="B149">
        <v>8</v>
      </c>
      <c r="C149">
        <v>22</v>
      </c>
      <c r="D149" t="s">
        <v>35</v>
      </c>
      <c r="E149" t="s">
        <v>34</v>
      </c>
      <c r="F149">
        <v>8</v>
      </c>
      <c r="G149">
        <v>77</v>
      </c>
      <c r="H149" t="s">
        <v>30</v>
      </c>
      <c r="I149">
        <v>4</v>
      </c>
      <c r="J149" t="s">
        <v>2</v>
      </c>
      <c r="K149" s="1">
        <v>8.6481481481481479E-4</v>
      </c>
      <c r="L149">
        <f t="shared" si="1"/>
        <v>8</v>
      </c>
    </row>
    <row r="150" spans="1:12" x14ac:dyDescent="0.3">
      <c r="A150" t="s">
        <v>54</v>
      </c>
      <c r="B150">
        <v>9</v>
      </c>
      <c r="C150">
        <v>23</v>
      </c>
      <c r="D150" t="s">
        <v>36</v>
      </c>
      <c r="E150" t="s">
        <v>37</v>
      </c>
      <c r="F150">
        <v>9</v>
      </c>
      <c r="G150">
        <v>77</v>
      </c>
      <c r="H150" t="s">
        <v>30</v>
      </c>
      <c r="I150">
        <v>2</v>
      </c>
      <c r="J150" t="s">
        <v>2</v>
      </c>
      <c r="K150" s="1">
        <v>8.9189814814814817E-4</v>
      </c>
      <c r="L150">
        <f t="shared" si="1"/>
        <v>8</v>
      </c>
    </row>
    <row r="151" spans="1:12" x14ac:dyDescent="0.3">
      <c r="A151" t="s">
        <v>54</v>
      </c>
      <c r="B151">
        <v>10</v>
      </c>
      <c r="C151">
        <v>10</v>
      </c>
      <c r="D151" t="s">
        <v>41</v>
      </c>
      <c r="E151" t="s">
        <v>40</v>
      </c>
      <c r="F151">
        <v>10</v>
      </c>
      <c r="G151">
        <v>77</v>
      </c>
      <c r="H151" t="s">
        <v>30</v>
      </c>
      <c r="I151">
        <v>1</v>
      </c>
      <c r="J151" t="s">
        <v>2</v>
      </c>
      <c r="K151" s="1">
        <v>8.7528935185185181E-4</v>
      </c>
      <c r="L151">
        <f t="shared" ref="L151:L214" si="2">L131+1</f>
        <v>8</v>
      </c>
    </row>
    <row r="152" spans="1:12" x14ac:dyDescent="0.3">
      <c r="A152" t="s">
        <v>54</v>
      </c>
      <c r="B152">
        <v>11</v>
      </c>
      <c r="C152">
        <v>14</v>
      </c>
      <c r="D152" t="s">
        <v>25</v>
      </c>
      <c r="E152" t="s">
        <v>26</v>
      </c>
      <c r="F152">
        <v>14</v>
      </c>
      <c r="G152">
        <v>76</v>
      </c>
      <c r="H152" t="s">
        <v>44</v>
      </c>
      <c r="I152">
        <v>0</v>
      </c>
      <c r="J152" t="s">
        <v>2</v>
      </c>
      <c r="K152" s="1">
        <v>9.0207175925925915E-4</v>
      </c>
      <c r="L152">
        <f t="shared" si="2"/>
        <v>8</v>
      </c>
    </row>
    <row r="153" spans="1:12" x14ac:dyDescent="0.3">
      <c r="A153" t="s">
        <v>54</v>
      </c>
      <c r="B153">
        <v>12</v>
      </c>
      <c r="C153">
        <v>3</v>
      </c>
      <c r="D153" t="s">
        <v>33</v>
      </c>
      <c r="E153" t="s">
        <v>34</v>
      </c>
      <c r="F153">
        <v>12</v>
      </c>
      <c r="G153">
        <v>76</v>
      </c>
      <c r="H153" t="s">
        <v>44</v>
      </c>
      <c r="I153">
        <v>0</v>
      </c>
      <c r="J153" t="s">
        <v>2</v>
      </c>
      <c r="K153" s="1">
        <v>8.931944444444444E-4</v>
      </c>
      <c r="L153">
        <f t="shared" si="2"/>
        <v>8</v>
      </c>
    </row>
    <row r="154" spans="1:12" x14ac:dyDescent="0.3">
      <c r="A154" t="s">
        <v>54</v>
      </c>
      <c r="B154">
        <v>13</v>
      </c>
      <c r="C154">
        <v>77</v>
      </c>
      <c r="D154" t="s">
        <v>42</v>
      </c>
      <c r="E154" t="s">
        <v>29</v>
      </c>
      <c r="F154">
        <v>17</v>
      </c>
      <c r="G154">
        <v>76</v>
      </c>
      <c r="H154" t="s">
        <v>44</v>
      </c>
      <c r="I154">
        <v>0</v>
      </c>
      <c r="J154" t="s">
        <v>2</v>
      </c>
      <c r="K154" s="1">
        <v>8.8612268518518532E-4</v>
      </c>
      <c r="L154">
        <f t="shared" si="2"/>
        <v>8</v>
      </c>
    </row>
    <row r="155" spans="1:12" x14ac:dyDescent="0.3">
      <c r="A155" t="s">
        <v>54</v>
      </c>
      <c r="B155">
        <v>14</v>
      </c>
      <c r="C155">
        <v>18</v>
      </c>
      <c r="D155" t="s">
        <v>27</v>
      </c>
      <c r="E155" t="s">
        <v>26</v>
      </c>
      <c r="F155">
        <v>13</v>
      </c>
      <c r="G155">
        <v>76</v>
      </c>
      <c r="H155" t="s">
        <v>44</v>
      </c>
      <c r="I155">
        <v>0</v>
      </c>
      <c r="J155" t="s">
        <v>2</v>
      </c>
      <c r="K155" s="1">
        <v>8.8784722222222227E-4</v>
      </c>
      <c r="L155">
        <f t="shared" si="2"/>
        <v>8</v>
      </c>
    </row>
    <row r="156" spans="1:12" x14ac:dyDescent="0.3">
      <c r="A156" t="s">
        <v>54</v>
      </c>
      <c r="B156">
        <v>15</v>
      </c>
      <c r="C156">
        <v>2</v>
      </c>
      <c r="D156" t="s">
        <v>43</v>
      </c>
      <c r="E156" t="s">
        <v>37</v>
      </c>
      <c r="F156">
        <v>15</v>
      </c>
      <c r="G156">
        <v>76</v>
      </c>
      <c r="H156" t="s">
        <v>44</v>
      </c>
      <c r="I156">
        <v>0</v>
      </c>
      <c r="J156" t="s">
        <v>2</v>
      </c>
      <c r="K156" s="1">
        <v>8.7413194444444452E-4</v>
      </c>
      <c r="L156">
        <f t="shared" si="2"/>
        <v>8</v>
      </c>
    </row>
    <row r="157" spans="1:12" x14ac:dyDescent="0.3">
      <c r="A157" t="s">
        <v>54</v>
      </c>
      <c r="B157">
        <v>16</v>
      </c>
      <c r="C157">
        <v>24</v>
      </c>
      <c r="D157" t="s">
        <v>28</v>
      </c>
      <c r="E157" t="s">
        <v>29</v>
      </c>
      <c r="F157">
        <v>18</v>
      </c>
      <c r="G157">
        <v>76</v>
      </c>
      <c r="H157" t="s">
        <v>44</v>
      </c>
      <c r="I157">
        <v>0</v>
      </c>
      <c r="J157" t="s">
        <v>2</v>
      </c>
      <c r="K157" s="1">
        <v>8.647916666666667E-4</v>
      </c>
      <c r="L157">
        <f t="shared" si="2"/>
        <v>8</v>
      </c>
    </row>
    <row r="158" spans="1:12" x14ac:dyDescent="0.3">
      <c r="A158" t="s">
        <v>54</v>
      </c>
      <c r="B158" t="s">
        <v>47</v>
      </c>
      <c r="C158">
        <v>31</v>
      </c>
      <c r="D158" t="s">
        <v>39</v>
      </c>
      <c r="E158" t="s">
        <v>40</v>
      </c>
      <c r="F158">
        <v>11</v>
      </c>
      <c r="G158">
        <v>0</v>
      </c>
      <c r="H158" t="s">
        <v>48</v>
      </c>
      <c r="I158">
        <v>0</v>
      </c>
      <c r="J158" t="s">
        <v>2</v>
      </c>
      <c r="L158">
        <f t="shared" si="2"/>
        <v>8</v>
      </c>
    </row>
    <row r="159" spans="1:12" x14ac:dyDescent="0.3">
      <c r="A159" t="s">
        <v>54</v>
      </c>
      <c r="B159" t="s">
        <v>47</v>
      </c>
      <c r="C159">
        <v>11</v>
      </c>
      <c r="D159" t="s">
        <v>15</v>
      </c>
      <c r="E159" t="s">
        <v>13</v>
      </c>
      <c r="F159">
        <v>16</v>
      </c>
      <c r="G159">
        <v>0</v>
      </c>
      <c r="H159" t="s">
        <v>48</v>
      </c>
      <c r="I159">
        <v>0</v>
      </c>
      <c r="J159" t="s">
        <v>2</v>
      </c>
      <c r="L159">
        <f t="shared" si="2"/>
        <v>8</v>
      </c>
    </row>
    <row r="160" spans="1:12" x14ac:dyDescent="0.3">
      <c r="A160" t="s">
        <v>54</v>
      </c>
      <c r="B160" t="s">
        <v>47</v>
      </c>
      <c r="C160">
        <v>27</v>
      </c>
      <c r="D160" t="s">
        <v>38</v>
      </c>
      <c r="E160" t="s">
        <v>32</v>
      </c>
      <c r="F160">
        <v>19</v>
      </c>
      <c r="G160">
        <v>0</v>
      </c>
      <c r="H160" t="s">
        <v>48</v>
      </c>
      <c r="I160">
        <v>0</v>
      </c>
      <c r="J160" t="s">
        <v>2</v>
      </c>
      <c r="L160">
        <f t="shared" si="2"/>
        <v>8</v>
      </c>
    </row>
    <row r="161" spans="1:12" x14ac:dyDescent="0.3">
      <c r="A161" t="s">
        <v>54</v>
      </c>
      <c r="B161" t="s">
        <v>47</v>
      </c>
      <c r="C161">
        <v>20</v>
      </c>
      <c r="D161" t="s">
        <v>31</v>
      </c>
      <c r="E161" t="s">
        <v>32</v>
      </c>
      <c r="F161">
        <v>20</v>
      </c>
      <c r="G161">
        <v>0</v>
      </c>
      <c r="H161" t="s">
        <v>48</v>
      </c>
      <c r="I161">
        <v>0</v>
      </c>
      <c r="J161" t="s">
        <v>2</v>
      </c>
      <c r="L161">
        <f t="shared" si="2"/>
        <v>8</v>
      </c>
    </row>
    <row r="162" spans="1:12" x14ac:dyDescent="0.3">
      <c r="A162" t="s">
        <v>55</v>
      </c>
      <c r="B162">
        <v>1</v>
      </c>
      <c r="C162">
        <v>1</v>
      </c>
      <c r="D162" t="s">
        <v>12</v>
      </c>
      <c r="E162" t="s">
        <v>13</v>
      </c>
      <c r="F162">
        <v>2</v>
      </c>
      <c r="G162">
        <v>70</v>
      </c>
      <c r="H162" s="1">
        <v>7.3471377314814817E-2</v>
      </c>
      <c r="I162">
        <v>25</v>
      </c>
      <c r="J162" t="s">
        <v>2</v>
      </c>
      <c r="K162" s="1">
        <v>8.7464120370370376E-4</v>
      </c>
      <c r="L162">
        <f t="shared" si="2"/>
        <v>9</v>
      </c>
    </row>
    <row r="163" spans="1:12" x14ac:dyDescent="0.3">
      <c r="A163" t="s">
        <v>55</v>
      </c>
      <c r="B163">
        <v>2</v>
      </c>
      <c r="C163">
        <v>4</v>
      </c>
      <c r="D163" t="s">
        <v>21</v>
      </c>
      <c r="E163" t="s">
        <v>22</v>
      </c>
      <c r="F163">
        <v>3</v>
      </c>
      <c r="G163">
        <v>70</v>
      </c>
      <c r="H163">
        <v>3.879</v>
      </c>
      <c r="I163">
        <v>18</v>
      </c>
      <c r="J163" t="s">
        <v>2</v>
      </c>
      <c r="K163" s="1">
        <v>8.7451388888888876E-4</v>
      </c>
      <c r="L163">
        <f t="shared" si="2"/>
        <v>9</v>
      </c>
    </row>
    <row r="164" spans="1:12" x14ac:dyDescent="0.3">
      <c r="A164" t="s">
        <v>55</v>
      </c>
      <c r="B164">
        <v>3</v>
      </c>
      <c r="C164">
        <v>63</v>
      </c>
      <c r="D164" t="s">
        <v>19</v>
      </c>
      <c r="E164" t="s">
        <v>20</v>
      </c>
      <c r="F164">
        <v>1</v>
      </c>
      <c r="G164">
        <v>70</v>
      </c>
      <c r="H164">
        <v>4.3170000000000002</v>
      </c>
      <c r="I164">
        <v>15</v>
      </c>
      <c r="J164" t="s">
        <v>2</v>
      </c>
      <c r="K164" s="1">
        <v>8.6684027777777768E-4</v>
      </c>
      <c r="L164">
        <f t="shared" si="2"/>
        <v>9</v>
      </c>
    </row>
    <row r="165" spans="1:12" x14ac:dyDescent="0.3">
      <c r="A165" t="s">
        <v>55</v>
      </c>
      <c r="B165">
        <v>4</v>
      </c>
      <c r="C165">
        <v>44</v>
      </c>
      <c r="D165" t="s">
        <v>23</v>
      </c>
      <c r="E165" t="s">
        <v>20</v>
      </c>
      <c r="F165">
        <v>7</v>
      </c>
      <c r="G165">
        <v>70</v>
      </c>
      <c r="H165">
        <v>4.915</v>
      </c>
      <c r="I165">
        <v>13</v>
      </c>
      <c r="J165" t="s">
        <v>14</v>
      </c>
      <c r="K165" s="1">
        <v>8.6638888888888887E-4</v>
      </c>
      <c r="L165">
        <f t="shared" si="2"/>
        <v>9</v>
      </c>
    </row>
    <row r="166" spans="1:12" x14ac:dyDescent="0.3">
      <c r="A166" t="s">
        <v>55</v>
      </c>
      <c r="B166">
        <v>5</v>
      </c>
      <c r="C166">
        <v>81</v>
      </c>
      <c r="D166" t="s">
        <v>24</v>
      </c>
      <c r="E166" t="s">
        <v>22</v>
      </c>
      <c r="F166">
        <v>4</v>
      </c>
      <c r="G166">
        <v>70</v>
      </c>
      <c r="H166">
        <v>10.199</v>
      </c>
      <c r="I166">
        <v>10</v>
      </c>
      <c r="J166" t="s">
        <v>2</v>
      </c>
      <c r="K166" s="1">
        <v>8.8248842592592589E-4</v>
      </c>
      <c r="L166">
        <f t="shared" si="2"/>
        <v>9</v>
      </c>
    </row>
    <row r="167" spans="1:12" x14ac:dyDescent="0.3">
      <c r="A167" t="s">
        <v>55</v>
      </c>
      <c r="B167">
        <v>6</v>
      </c>
      <c r="C167">
        <v>14</v>
      </c>
      <c r="D167" t="s">
        <v>25</v>
      </c>
      <c r="E167" t="s">
        <v>26</v>
      </c>
      <c r="F167">
        <v>6</v>
      </c>
      <c r="G167">
        <v>70</v>
      </c>
      <c r="H167">
        <v>17.510000000000002</v>
      </c>
      <c r="I167">
        <v>8</v>
      </c>
      <c r="J167" t="s">
        <v>2</v>
      </c>
      <c r="K167" s="1">
        <v>8.8313657407407405E-4</v>
      </c>
      <c r="L167">
        <f t="shared" si="2"/>
        <v>9</v>
      </c>
    </row>
    <row r="168" spans="1:12" x14ac:dyDescent="0.3">
      <c r="A168" t="s">
        <v>55</v>
      </c>
      <c r="B168">
        <v>7</v>
      </c>
      <c r="C168">
        <v>18</v>
      </c>
      <c r="D168" t="s">
        <v>27</v>
      </c>
      <c r="E168" t="s">
        <v>26</v>
      </c>
      <c r="F168">
        <v>9</v>
      </c>
      <c r="G168">
        <v>70</v>
      </c>
      <c r="H168">
        <v>23.625</v>
      </c>
      <c r="I168">
        <v>6</v>
      </c>
      <c r="J168" t="s">
        <v>2</v>
      </c>
      <c r="K168" s="1">
        <v>8.8844907407407405E-4</v>
      </c>
      <c r="L168">
        <f t="shared" si="2"/>
        <v>9</v>
      </c>
    </row>
    <row r="169" spans="1:12" x14ac:dyDescent="0.3">
      <c r="A169" t="s">
        <v>55</v>
      </c>
      <c r="B169">
        <v>8</v>
      </c>
      <c r="C169">
        <v>3</v>
      </c>
      <c r="D169" t="s">
        <v>33</v>
      </c>
      <c r="E169" t="s">
        <v>34</v>
      </c>
      <c r="F169">
        <v>5</v>
      </c>
      <c r="G169">
        <v>70</v>
      </c>
      <c r="H169">
        <v>28.672000000000001</v>
      </c>
      <c r="I169">
        <v>4</v>
      </c>
      <c r="J169" t="s">
        <v>2</v>
      </c>
      <c r="K169" s="1">
        <v>8.9208333333333327E-4</v>
      </c>
      <c r="L169">
        <f t="shared" si="2"/>
        <v>9</v>
      </c>
    </row>
    <row r="170" spans="1:12" x14ac:dyDescent="0.3">
      <c r="A170" t="s">
        <v>55</v>
      </c>
      <c r="B170">
        <v>9</v>
      </c>
      <c r="C170">
        <v>10</v>
      </c>
      <c r="D170" t="s">
        <v>41</v>
      </c>
      <c r="E170" t="s">
        <v>40</v>
      </c>
      <c r="F170">
        <v>15</v>
      </c>
      <c r="G170">
        <v>70</v>
      </c>
      <c r="H170">
        <v>30.021000000000001</v>
      </c>
      <c r="I170">
        <v>2</v>
      </c>
      <c r="J170" t="s">
        <v>2</v>
      </c>
      <c r="K170" s="1">
        <v>8.9135416666666671E-4</v>
      </c>
      <c r="L170">
        <f t="shared" si="2"/>
        <v>9</v>
      </c>
    </row>
    <row r="171" spans="1:12" x14ac:dyDescent="0.3">
      <c r="A171" t="s">
        <v>55</v>
      </c>
      <c r="B171">
        <v>10</v>
      </c>
      <c r="C171">
        <v>31</v>
      </c>
      <c r="D171" t="s">
        <v>39</v>
      </c>
      <c r="E171" t="s">
        <v>40</v>
      </c>
      <c r="F171">
        <v>18</v>
      </c>
      <c r="G171">
        <v>70</v>
      </c>
      <c r="H171">
        <v>30.312999999999999</v>
      </c>
      <c r="I171">
        <v>1</v>
      </c>
      <c r="J171" t="s">
        <v>2</v>
      </c>
      <c r="K171" s="1">
        <v>8.9134259259259256E-4</v>
      </c>
      <c r="L171">
        <f t="shared" si="2"/>
        <v>9</v>
      </c>
    </row>
    <row r="172" spans="1:12" x14ac:dyDescent="0.3">
      <c r="A172" t="s">
        <v>55</v>
      </c>
      <c r="B172">
        <v>11</v>
      </c>
      <c r="C172">
        <v>27</v>
      </c>
      <c r="D172" t="s">
        <v>38</v>
      </c>
      <c r="E172" t="s">
        <v>32</v>
      </c>
      <c r="F172">
        <v>17</v>
      </c>
      <c r="G172">
        <v>70</v>
      </c>
      <c r="H172">
        <v>30.824000000000002</v>
      </c>
      <c r="I172">
        <v>0</v>
      </c>
      <c r="J172" t="s">
        <v>2</v>
      </c>
      <c r="K172" s="1">
        <v>8.8753472222222218E-4</v>
      </c>
      <c r="L172">
        <f t="shared" si="2"/>
        <v>9</v>
      </c>
    </row>
    <row r="173" spans="1:12" x14ac:dyDescent="0.3">
      <c r="A173" t="s">
        <v>55</v>
      </c>
      <c r="B173">
        <v>12</v>
      </c>
      <c r="C173">
        <v>20</v>
      </c>
      <c r="D173" t="s">
        <v>31</v>
      </c>
      <c r="E173" t="s">
        <v>32</v>
      </c>
      <c r="F173">
        <v>14</v>
      </c>
      <c r="G173">
        <v>70</v>
      </c>
      <c r="H173">
        <v>31.253</v>
      </c>
      <c r="I173">
        <v>0</v>
      </c>
      <c r="J173" t="s">
        <v>2</v>
      </c>
      <c r="K173" s="1">
        <v>8.8540509259259258E-4</v>
      </c>
      <c r="L173">
        <f t="shared" si="2"/>
        <v>9</v>
      </c>
    </row>
    <row r="174" spans="1:12" x14ac:dyDescent="0.3">
      <c r="A174" t="s">
        <v>55</v>
      </c>
      <c r="B174">
        <v>13</v>
      </c>
      <c r="C174">
        <v>77</v>
      </c>
      <c r="D174" t="s">
        <v>42</v>
      </c>
      <c r="E174" t="s">
        <v>29</v>
      </c>
      <c r="F174">
        <v>19</v>
      </c>
      <c r="G174">
        <v>70</v>
      </c>
      <c r="H174">
        <v>40.487000000000002</v>
      </c>
      <c r="I174">
        <v>0</v>
      </c>
      <c r="J174" t="s">
        <v>2</v>
      </c>
      <c r="K174" s="1">
        <v>8.9409722222222223E-4</v>
      </c>
      <c r="L174">
        <f t="shared" si="2"/>
        <v>9</v>
      </c>
    </row>
    <row r="175" spans="1:12" x14ac:dyDescent="0.3">
      <c r="A175" t="s">
        <v>55</v>
      </c>
      <c r="B175">
        <v>14</v>
      </c>
      <c r="C175">
        <v>22</v>
      </c>
      <c r="D175" t="s">
        <v>35</v>
      </c>
      <c r="E175" t="s">
        <v>34</v>
      </c>
      <c r="F175">
        <v>8</v>
      </c>
      <c r="G175">
        <v>70</v>
      </c>
      <c r="H175">
        <v>52.694000000000003</v>
      </c>
      <c r="I175">
        <v>0</v>
      </c>
      <c r="J175" t="s">
        <v>2</v>
      </c>
      <c r="K175" s="1">
        <v>8.9478009259259252E-4</v>
      </c>
      <c r="L175">
        <f t="shared" si="2"/>
        <v>9</v>
      </c>
    </row>
    <row r="176" spans="1:12" x14ac:dyDescent="0.3">
      <c r="A176" t="s">
        <v>55</v>
      </c>
      <c r="B176">
        <v>15</v>
      </c>
      <c r="C176">
        <v>24</v>
      </c>
      <c r="D176" t="s">
        <v>28</v>
      </c>
      <c r="E176" t="s">
        <v>29</v>
      </c>
      <c r="F176">
        <v>20</v>
      </c>
      <c r="G176">
        <v>69</v>
      </c>
      <c r="H176" t="s">
        <v>30</v>
      </c>
      <c r="I176">
        <v>0</v>
      </c>
      <c r="J176" t="s">
        <v>2</v>
      </c>
      <c r="K176" s="1">
        <v>8.9496527777777784E-4</v>
      </c>
      <c r="L176">
        <f t="shared" si="2"/>
        <v>9</v>
      </c>
    </row>
    <row r="177" spans="1:12" x14ac:dyDescent="0.3">
      <c r="A177" t="s">
        <v>55</v>
      </c>
      <c r="B177" t="s">
        <v>47</v>
      </c>
      <c r="C177">
        <v>55</v>
      </c>
      <c r="D177" t="s">
        <v>16</v>
      </c>
      <c r="E177" t="s">
        <v>17</v>
      </c>
      <c r="F177">
        <v>12</v>
      </c>
      <c r="G177">
        <v>52</v>
      </c>
      <c r="H177" t="s">
        <v>48</v>
      </c>
      <c r="I177">
        <v>0</v>
      </c>
      <c r="J177" t="s">
        <v>2</v>
      </c>
      <c r="K177" s="1">
        <v>9.1385416666666655E-4</v>
      </c>
      <c r="L177">
        <f t="shared" si="2"/>
        <v>9</v>
      </c>
    </row>
    <row r="178" spans="1:12" x14ac:dyDescent="0.3">
      <c r="A178" t="s">
        <v>55</v>
      </c>
      <c r="B178" t="s">
        <v>47</v>
      </c>
      <c r="C178">
        <v>23</v>
      </c>
      <c r="D178" t="s">
        <v>36</v>
      </c>
      <c r="E178" t="s">
        <v>37</v>
      </c>
      <c r="F178">
        <v>10</v>
      </c>
      <c r="G178">
        <v>52</v>
      </c>
      <c r="H178" t="s">
        <v>48</v>
      </c>
      <c r="I178">
        <v>0</v>
      </c>
      <c r="J178" t="s">
        <v>2</v>
      </c>
      <c r="K178" s="1">
        <v>9.1850694444444456E-4</v>
      </c>
      <c r="L178">
        <f t="shared" si="2"/>
        <v>9</v>
      </c>
    </row>
    <row r="179" spans="1:12" x14ac:dyDescent="0.3">
      <c r="A179" t="s">
        <v>55</v>
      </c>
      <c r="B179" t="s">
        <v>47</v>
      </c>
      <c r="C179">
        <v>11</v>
      </c>
      <c r="D179" t="s">
        <v>15</v>
      </c>
      <c r="E179" t="s">
        <v>13</v>
      </c>
      <c r="F179">
        <v>16</v>
      </c>
      <c r="G179">
        <v>51</v>
      </c>
      <c r="H179" t="s">
        <v>48</v>
      </c>
      <c r="I179">
        <v>0</v>
      </c>
      <c r="J179" t="s">
        <v>2</v>
      </c>
      <c r="K179" s="1">
        <v>9.1225694444444449E-4</v>
      </c>
      <c r="L179">
        <f t="shared" si="2"/>
        <v>9</v>
      </c>
    </row>
    <row r="180" spans="1:12" x14ac:dyDescent="0.3">
      <c r="A180" t="s">
        <v>55</v>
      </c>
      <c r="B180" t="s">
        <v>47</v>
      </c>
      <c r="C180">
        <v>16</v>
      </c>
      <c r="D180" t="s">
        <v>18</v>
      </c>
      <c r="E180" t="s">
        <v>17</v>
      </c>
      <c r="F180">
        <v>11</v>
      </c>
      <c r="G180">
        <v>40</v>
      </c>
      <c r="H180" t="s">
        <v>48</v>
      </c>
      <c r="I180">
        <v>0</v>
      </c>
      <c r="J180" t="s">
        <v>2</v>
      </c>
      <c r="K180" s="1">
        <v>9.9550925925925935E-4</v>
      </c>
      <c r="L180">
        <f t="shared" si="2"/>
        <v>9</v>
      </c>
    </row>
    <row r="181" spans="1:12" x14ac:dyDescent="0.3">
      <c r="A181" t="s">
        <v>55</v>
      </c>
      <c r="B181" t="s">
        <v>47</v>
      </c>
      <c r="C181">
        <v>2</v>
      </c>
      <c r="D181" t="s">
        <v>43</v>
      </c>
      <c r="E181" t="s">
        <v>37</v>
      </c>
      <c r="F181">
        <v>13</v>
      </c>
      <c r="G181">
        <v>23</v>
      </c>
      <c r="H181" t="s">
        <v>48</v>
      </c>
      <c r="I181">
        <v>0</v>
      </c>
      <c r="J181" t="s">
        <v>2</v>
      </c>
      <c r="K181" s="1">
        <v>1.0009722222222223E-3</v>
      </c>
      <c r="L181">
        <f t="shared" si="2"/>
        <v>9</v>
      </c>
    </row>
    <row r="182" spans="1:12" x14ac:dyDescent="0.3">
      <c r="A182" t="s">
        <v>56</v>
      </c>
      <c r="B182">
        <v>1</v>
      </c>
      <c r="C182">
        <v>1</v>
      </c>
      <c r="D182" t="s">
        <v>12</v>
      </c>
      <c r="E182" t="s">
        <v>13</v>
      </c>
      <c r="F182">
        <v>2</v>
      </c>
      <c r="G182">
        <v>66</v>
      </c>
      <c r="H182" s="1">
        <v>6.1345219907407406E-2</v>
      </c>
      <c r="I182">
        <v>25</v>
      </c>
      <c r="J182" t="s">
        <v>2</v>
      </c>
      <c r="K182" s="1">
        <v>9.0018518518518518E-4</v>
      </c>
      <c r="L182">
        <f t="shared" si="2"/>
        <v>10</v>
      </c>
    </row>
    <row r="183" spans="1:12" x14ac:dyDescent="0.3">
      <c r="A183" t="s">
        <v>56</v>
      </c>
      <c r="B183">
        <v>2</v>
      </c>
      <c r="C183">
        <v>4</v>
      </c>
      <c r="D183" t="s">
        <v>21</v>
      </c>
      <c r="E183" t="s">
        <v>22</v>
      </c>
      <c r="F183">
        <v>1</v>
      </c>
      <c r="G183">
        <v>66</v>
      </c>
      <c r="H183">
        <v>2.2189999999999999</v>
      </c>
      <c r="I183">
        <v>19</v>
      </c>
      <c r="J183" t="s">
        <v>14</v>
      </c>
      <c r="K183" s="1">
        <v>8.9253472222222219E-4</v>
      </c>
      <c r="L183">
        <f t="shared" si="2"/>
        <v>10</v>
      </c>
    </row>
    <row r="184" spans="1:12" x14ac:dyDescent="0.3">
      <c r="A184" t="s">
        <v>56</v>
      </c>
      <c r="B184">
        <v>3</v>
      </c>
      <c r="C184">
        <v>44</v>
      </c>
      <c r="D184" t="s">
        <v>23</v>
      </c>
      <c r="E184" t="s">
        <v>20</v>
      </c>
      <c r="F184">
        <v>3</v>
      </c>
      <c r="G184">
        <v>66</v>
      </c>
      <c r="H184">
        <v>17.79</v>
      </c>
      <c r="I184">
        <v>15</v>
      </c>
      <c r="J184" t="s">
        <v>2</v>
      </c>
      <c r="K184" s="1">
        <v>9.0056712962962963E-4</v>
      </c>
      <c r="L184">
        <f t="shared" si="2"/>
        <v>10</v>
      </c>
    </row>
    <row r="185" spans="1:12" x14ac:dyDescent="0.3">
      <c r="A185" t="s">
        <v>56</v>
      </c>
      <c r="B185">
        <v>4</v>
      </c>
      <c r="C185">
        <v>63</v>
      </c>
      <c r="D185" t="s">
        <v>19</v>
      </c>
      <c r="E185" t="s">
        <v>20</v>
      </c>
      <c r="F185">
        <v>4</v>
      </c>
      <c r="G185">
        <v>66</v>
      </c>
      <c r="H185">
        <v>22.32</v>
      </c>
      <c r="I185">
        <v>12</v>
      </c>
      <c r="J185" t="s">
        <v>2</v>
      </c>
      <c r="K185" s="1">
        <v>9.061342592592592E-4</v>
      </c>
      <c r="L185">
        <f t="shared" si="2"/>
        <v>10</v>
      </c>
    </row>
    <row r="186" spans="1:12" x14ac:dyDescent="0.3">
      <c r="A186" t="s">
        <v>56</v>
      </c>
      <c r="B186">
        <v>5</v>
      </c>
      <c r="C186">
        <v>16</v>
      </c>
      <c r="D186" t="s">
        <v>18</v>
      </c>
      <c r="E186" t="s">
        <v>17</v>
      </c>
      <c r="F186">
        <v>5</v>
      </c>
      <c r="G186">
        <v>66</v>
      </c>
      <c r="H186">
        <v>22.709</v>
      </c>
      <c r="I186">
        <v>10</v>
      </c>
      <c r="J186" t="s">
        <v>2</v>
      </c>
      <c r="K186" s="1">
        <v>9.0158564814814799E-4</v>
      </c>
      <c r="L186">
        <f t="shared" si="2"/>
        <v>10</v>
      </c>
    </row>
    <row r="187" spans="1:12" x14ac:dyDescent="0.3">
      <c r="A187" t="s">
        <v>56</v>
      </c>
      <c r="B187">
        <v>6</v>
      </c>
      <c r="C187">
        <v>55</v>
      </c>
      <c r="D187" t="s">
        <v>16</v>
      </c>
      <c r="E187" t="s">
        <v>17</v>
      </c>
      <c r="F187">
        <v>6</v>
      </c>
      <c r="G187">
        <v>66</v>
      </c>
      <c r="H187">
        <v>31.027999999999999</v>
      </c>
      <c r="I187">
        <v>8</v>
      </c>
      <c r="J187" t="s">
        <v>2</v>
      </c>
      <c r="K187" s="1">
        <v>9.0901620370370377E-4</v>
      </c>
      <c r="L187">
        <f t="shared" si="2"/>
        <v>10</v>
      </c>
    </row>
    <row r="188" spans="1:12" x14ac:dyDescent="0.3">
      <c r="A188" t="s">
        <v>56</v>
      </c>
      <c r="B188">
        <v>7</v>
      </c>
      <c r="C188">
        <v>81</v>
      </c>
      <c r="D188" t="s">
        <v>24</v>
      </c>
      <c r="E188" t="s">
        <v>22</v>
      </c>
      <c r="F188">
        <v>9</v>
      </c>
      <c r="G188">
        <v>66</v>
      </c>
      <c r="H188">
        <v>33.76</v>
      </c>
      <c r="I188">
        <v>6</v>
      </c>
      <c r="J188" t="s">
        <v>2</v>
      </c>
      <c r="K188" s="1">
        <v>9.0131944444444439E-4</v>
      </c>
      <c r="L188">
        <f t="shared" si="2"/>
        <v>10</v>
      </c>
    </row>
    <row r="189" spans="1:12" x14ac:dyDescent="0.3">
      <c r="A189" t="s">
        <v>56</v>
      </c>
      <c r="B189">
        <v>8</v>
      </c>
      <c r="C189">
        <v>11</v>
      </c>
      <c r="D189" t="s">
        <v>15</v>
      </c>
      <c r="E189" t="s">
        <v>13</v>
      </c>
      <c r="F189">
        <v>11</v>
      </c>
      <c r="G189">
        <v>66</v>
      </c>
      <c r="H189">
        <v>59.524000000000001</v>
      </c>
      <c r="I189">
        <v>4</v>
      </c>
      <c r="J189" t="s">
        <v>2</v>
      </c>
      <c r="K189" s="1">
        <v>9.0028935185185177E-4</v>
      </c>
      <c r="L189">
        <f t="shared" si="2"/>
        <v>10</v>
      </c>
    </row>
    <row r="190" spans="1:12" x14ac:dyDescent="0.3">
      <c r="A190" t="s">
        <v>56</v>
      </c>
      <c r="B190">
        <v>9</v>
      </c>
      <c r="C190">
        <v>10</v>
      </c>
      <c r="D190" t="s">
        <v>41</v>
      </c>
      <c r="E190" t="s">
        <v>40</v>
      </c>
      <c r="F190">
        <v>7</v>
      </c>
      <c r="G190">
        <v>66</v>
      </c>
      <c r="H190">
        <v>62.024999999999999</v>
      </c>
      <c r="I190">
        <v>2</v>
      </c>
      <c r="J190" t="s">
        <v>2</v>
      </c>
      <c r="K190" s="1">
        <v>9.1487268518518523E-4</v>
      </c>
      <c r="L190">
        <f t="shared" si="2"/>
        <v>10</v>
      </c>
    </row>
    <row r="191" spans="1:12" x14ac:dyDescent="0.3">
      <c r="A191" t="s">
        <v>56</v>
      </c>
      <c r="B191">
        <v>10</v>
      </c>
      <c r="C191">
        <v>31</v>
      </c>
      <c r="D191" t="s">
        <v>39</v>
      </c>
      <c r="E191" t="s">
        <v>40</v>
      </c>
      <c r="F191">
        <v>8</v>
      </c>
      <c r="G191">
        <v>66</v>
      </c>
      <c r="H191">
        <v>71.888999999999996</v>
      </c>
      <c r="I191">
        <v>1</v>
      </c>
      <c r="J191" t="s">
        <v>2</v>
      </c>
      <c r="K191" s="1">
        <v>9.1414351851851856E-4</v>
      </c>
      <c r="L191">
        <f t="shared" si="2"/>
        <v>10</v>
      </c>
    </row>
    <row r="192" spans="1:12" x14ac:dyDescent="0.3">
      <c r="A192" t="s">
        <v>56</v>
      </c>
      <c r="B192">
        <v>11</v>
      </c>
      <c r="C192">
        <v>27</v>
      </c>
      <c r="D192" t="s">
        <v>38</v>
      </c>
      <c r="E192" t="s">
        <v>32</v>
      </c>
      <c r="F192">
        <v>13</v>
      </c>
      <c r="G192">
        <v>66</v>
      </c>
      <c r="H192">
        <v>79.215000000000003</v>
      </c>
      <c r="I192">
        <v>0</v>
      </c>
      <c r="J192" t="s">
        <v>2</v>
      </c>
      <c r="K192" s="1">
        <v>9.0982638888888895E-4</v>
      </c>
      <c r="L192">
        <f t="shared" si="2"/>
        <v>10</v>
      </c>
    </row>
    <row r="193" spans="1:12" x14ac:dyDescent="0.3">
      <c r="A193" t="s">
        <v>56</v>
      </c>
      <c r="B193">
        <v>12</v>
      </c>
      <c r="C193">
        <v>14</v>
      </c>
      <c r="D193" t="s">
        <v>25</v>
      </c>
      <c r="E193" t="s">
        <v>26</v>
      </c>
      <c r="F193">
        <v>10</v>
      </c>
      <c r="G193">
        <v>65</v>
      </c>
      <c r="H193" t="s">
        <v>30</v>
      </c>
      <c r="I193">
        <v>0</v>
      </c>
      <c r="J193" t="s">
        <v>2</v>
      </c>
      <c r="K193" s="1">
        <v>9.0664351851851854E-4</v>
      </c>
      <c r="L193">
        <f t="shared" si="2"/>
        <v>10</v>
      </c>
    </row>
    <row r="194" spans="1:12" x14ac:dyDescent="0.3">
      <c r="A194" t="s">
        <v>56</v>
      </c>
      <c r="B194">
        <v>13</v>
      </c>
      <c r="C194">
        <v>24</v>
      </c>
      <c r="D194" t="s">
        <v>28</v>
      </c>
      <c r="E194" t="s">
        <v>29</v>
      </c>
      <c r="F194">
        <v>15</v>
      </c>
      <c r="G194">
        <v>65</v>
      </c>
      <c r="H194" t="s">
        <v>30</v>
      </c>
      <c r="I194">
        <v>0</v>
      </c>
      <c r="J194" t="s">
        <v>2</v>
      </c>
      <c r="K194" s="1">
        <v>9.1170138888888887E-4</v>
      </c>
      <c r="L194">
        <f t="shared" si="2"/>
        <v>10</v>
      </c>
    </row>
    <row r="195" spans="1:12" x14ac:dyDescent="0.3">
      <c r="A195" t="s">
        <v>56</v>
      </c>
      <c r="B195">
        <v>14</v>
      </c>
      <c r="C195">
        <v>18</v>
      </c>
      <c r="D195" t="s">
        <v>27</v>
      </c>
      <c r="E195" t="s">
        <v>26</v>
      </c>
      <c r="F195">
        <v>14</v>
      </c>
      <c r="G195">
        <v>65</v>
      </c>
      <c r="H195" t="s">
        <v>30</v>
      </c>
      <c r="I195">
        <v>0</v>
      </c>
      <c r="J195" t="s">
        <v>2</v>
      </c>
      <c r="K195" s="1">
        <v>9.1803240740740734E-4</v>
      </c>
      <c r="L195">
        <f t="shared" si="2"/>
        <v>10</v>
      </c>
    </row>
    <row r="196" spans="1:12" x14ac:dyDescent="0.3">
      <c r="A196" t="s">
        <v>56</v>
      </c>
      <c r="B196">
        <v>15</v>
      </c>
      <c r="C196">
        <v>3</v>
      </c>
      <c r="D196" t="s">
        <v>33</v>
      </c>
      <c r="E196" t="s">
        <v>34</v>
      </c>
      <c r="F196">
        <v>18</v>
      </c>
      <c r="G196">
        <v>65</v>
      </c>
      <c r="H196" t="s">
        <v>30</v>
      </c>
      <c r="I196">
        <v>0</v>
      </c>
      <c r="J196" t="s">
        <v>2</v>
      </c>
      <c r="K196" s="1">
        <v>9.1956018518518526E-4</v>
      </c>
      <c r="L196">
        <f t="shared" si="2"/>
        <v>10</v>
      </c>
    </row>
    <row r="197" spans="1:12" x14ac:dyDescent="0.3">
      <c r="A197" t="s">
        <v>56</v>
      </c>
      <c r="B197">
        <v>16</v>
      </c>
      <c r="C197">
        <v>77</v>
      </c>
      <c r="D197" t="s">
        <v>42</v>
      </c>
      <c r="E197" t="s">
        <v>29</v>
      </c>
      <c r="F197">
        <v>12</v>
      </c>
      <c r="G197">
        <v>65</v>
      </c>
      <c r="H197" t="s">
        <v>30</v>
      </c>
      <c r="I197">
        <v>0</v>
      </c>
      <c r="J197" t="s">
        <v>2</v>
      </c>
      <c r="K197" s="1">
        <v>9.2138888888888891E-4</v>
      </c>
      <c r="L197">
        <f t="shared" si="2"/>
        <v>10</v>
      </c>
    </row>
    <row r="198" spans="1:12" x14ac:dyDescent="0.3">
      <c r="A198" t="s">
        <v>56</v>
      </c>
      <c r="B198">
        <v>17</v>
      </c>
      <c r="C198">
        <v>20</v>
      </c>
      <c r="D198" t="s">
        <v>31</v>
      </c>
      <c r="E198" t="s">
        <v>32</v>
      </c>
      <c r="F198">
        <v>16</v>
      </c>
      <c r="G198">
        <v>65</v>
      </c>
      <c r="H198" t="s">
        <v>30</v>
      </c>
      <c r="I198">
        <v>0</v>
      </c>
      <c r="J198" t="s">
        <v>2</v>
      </c>
      <c r="K198" s="1">
        <v>9.2366898148148158E-4</v>
      </c>
      <c r="L198">
        <f t="shared" si="2"/>
        <v>10</v>
      </c>
    </row>
    <row r="199" spans="1:12" x14ac:dyDescent="0.3">
      <c r="A199" t="s">
        <v>56</v>
      </c>
      <c r="B199">
        <v>18</v>
      </c>
      <c r="C199">
        <v>23</v>
      </c>
      <c r="D199" t="s">
        <v>36</v>
      </c>
      <c r="E199" t="s">
        <v>37</v>
      </c>
      <c r="F199">
        <v>20</v>
      </c>
      <c r="G199">
        <v>65</v>
      </c>
      <c r="H199" t="s">
        <v>30</v>
      </c>
      <c r="I199">
        <v>0</v>
      </c>
      <c r="J199" t="s">
        <v>2</v>
      </c>
      <c r="K199" s="1">
        <v>9.1587962962962966E-4</v>
      </c>
      <c r="L199">
        <f t="shared" si="2"/>
        <v>10</v>
      </c>
    </row>
    <row r="200" spans="1:12" x14ac:dyDescent="0.3">
      <c r="A200" t="s">
        <v>56</v>
      </c>
      <c r="B200">
        <v>19</v>
      </c>
      <c r="C200">
        <v>22</v>
      </c>
      <c r="D200" t="s">
        <v>35</v>
      </c>
      <c r="E200" t="s">
        <v>34</v>
      </c>
      <c r="F200">
        <v>17</v>
      </c>
      <c r="G200">
        <v>65</v>
      </c>
      <c r="H200" t="s">
        <v>30</v>
      </c>
      <c r="I200">
        <v>0</v>
      </c>
      <c r="J200" t="s">
        <v>2</v>
      </c>
      <c r="K200" s="1">
        <v>9.1952546296296303E-4</v>
      </c>
      <c r="L200">
        <f t="shared" si="2"/>
        <v>10</v>
      </c>
    </row>
    <row r="201" spans="1:12" x14ac:dyDescent="0.3">
      <c r="A201" t="s">
        <v>56</v>
      </c>
      <c r="B201">
        <v>20</v>
      </c>
      <c r="C201">
        <v>2</v>
      </c>
      <c r="D201" t="s">
        <v>43</v>
      </c>
      <c r="E201" t="s">
        <v>37</v>
      </c>
      <c r="F201">
        <v>19</v>
      </c>
      <c r="G201">
        <v>64</v>
      </c>
      <c r="H201" t="s">
        <v>44</v>
      </c>
      <c r="I201">
        <v>0</v>
      </c>
      <c r="J201" t="s">
        <v>2</v>
      </c>
      <c r="K201" s="1">
        <v>9.2791666666666662E-4</v>
      </c>
      <c r="L201">
        <f t="shared" si="2"/>
        <v>10</v>
      </c>
    </row>
    <row r="202" spans="1:12" x14ac:dyDescent="0.3">
      <c r="A202" t="s">
        <v>57</v>
      </c>
      <c r="B202">
        <v>1</v>
      </c>
      <c r="C202">
        <v>63</v>
      </c>
      <c r="D202" t="s">
        <v>19</v>
      </c>
      <c r="E202" t="s">
        <v>20</v>
      </c>
      <c r="F202">
        <v>3</v>
      </c>
      <c r="G202">
        <v>71</v>
      </c>
      <c r="H202" s="1">
        <v>5.8597199074074069E-2</v>
      </c>
      <c r="I202">
        <v>25</v>
      </c>
      <c r="J202" t="s">
        <v>2</v>
      </c>
      <c r="K202" s="1">
        <v>8.0050925925925927E-4</v>
      </c>
      <c r="L202">
        <f t="shared" si="2"/>
        <v>11</v>
      </c>
    </row>
    <row r="203" spans="1:12" x14ac:dyDescent="0.3">
      <c r="A203" t="s">
        <v>57</v>
      </c>
      <c r="B203">
        <v>2</v>
      </c>
      <c r="C203">
        <v>81</v>
      </c>
      <c r="D203" t="s">
        <v>24</v>
      </c>
      <c r="E203" t="s">
        <v>22</v>
      </c>
      <c r="F203">
        <v>7</v>
      </c>
      <c r="G203">
        <v>71</v>
      </c>
      <c r="H203">
        <v>1.9059999999999999</v>
      </c>
      <c r="I203">
        <v>18</v>
      </c>
      <c r="J203" t="s">
        <v>2</v>
      </c>
      <c r="K203" s="1">
        <v>7.9510416666666672E-4</v>
      </c>
      <c r="L203">
        <f t="shared" si="2"/>
        <v>11</v>
      </c>
    </row>
    <row r="204" spans="1:12" x14ac:dyDescent="0.3">
      <c r="A204" t="s">
        <v>57</v>
      </c>
      <c r="B204">
        <v>3</v>
      </c>
      <c r="C204">
        <v>55</v>
      </c>
      <c r="D204" t="s">
        <v>16</v>
      </c>
      <c r="E204" t="s">
        <v>17</v>
      </c>
      <c r="F204">
        <v>4</v>
      </c>
      <c r="G204">
        <v>71</v>
      </c>
      <c r="H204">
        <v>4.5330000000000004</v>
      </c>
      <c r="I204">
        <v>15</v>
      </c>
      <c r="J204" t="s">
        <v>2</v>
      </c>
      <c r="K204" s="1">
        <v>8.0187499999999996E-4</v>
      </c>
      <c r="L204">
        <f t="shared" si="2"/>
        <v>11</v>
      </c>
    </row>
    <row r="205" spans="1:12" x14ac:dyDescent="0.3">
      <c r="A205" t="s">
        <v>57</v>
      </c>
      <c r="B205">
        <v>4</v>
      </c>
      <c r="C205">
        <v>44</v>
      </c>
      <c r="D205" t="s">
        <v>23</v>
      </c>
      <c r="E205" t="s">
        <v>20</v>
      </c>
      <c r="F205">
        <v>5</v>
      </c>
      <c r="G205">
        <v>71</v>
      </c>
      <c r="H205">
        <v>23.141999999999999</v>
      </c>
      <c r="I205">
        <v>12</v>
      </c>
      <c r="J205" t="s">
        <v>2</v>
      </c>
      <c r="K205" s="1">
        <v>8.0511574074074068E-4</v>
      </c>
      <c r="L205">
        <f t="shared" si="2"/>
        <v>11</v>
      </c>
    </row>
    <row r="206" spans="1:12" x14ac:dyDescent="0.3">
      <c r="A206" t="s">
        <v>57</v>
      </c>
      <c r="B206">
        <v>5</v>
      </c>
      <c r="C206">
        <v>1</v>
      </c>
      <c r="D206" t="s">
        <v>12</v>
      </c>
      <c r="E206" t="s">
        <v>13</v>
      </c>
      <c r="F206">
        <v>1</v>
      </c>
      <c r="G206">
        <v>71</v>
      </c>
      <c r="H206">
        <v>37.253</v>
      </c>
      <c r="I206">
        <v>10</v>
      </c>
      <c r="J206" t="s">
        <v>2</v>
      </c>
      <c r="K206" s="1">
        <v>7.8378472222222217E-4</v>
      </c>
      <c r="L206">
        <f t="shared" si="2"/>
        <v>11</v>
      </c>
    </row>
    <row r="207" spans="1:12" x14ac:dyDescent="0.3">
      <c r="A207" t="s">
        <v>57</v>
      </c>
      <c r="B207">
        <v>6</v>
      </c>
      <c r="C207">
        <v>27</v>
      </c>
      <c r="D207" t="s">
        <v>38</v>
      </c>
      <c r="E207" t="s">
        <v>32</v>
      </c>
      <c r="F207">
        <v>9</v>
      </c>
      <c r="G207">
        <v>71</v>
      </c>
      <c r="H207">
        <v>54.088000000000001</v>
      </c>
      <c r="I207">
        <v>8</v>
      </c>
      <c r="J207" t="s">
        <v>2</v>
      </c>
      <c r="K207" s="1">
        <v>8.1267361111111113E-4</v>
      </c>
      <c r="L207">
        <f t="shared" si="2"/>
        <v>11</v>
      </c>
    </row>
    <row r="208" spans="1:12" x14ac:dyDescent="0.3">
      <c r="A208" t="s">
        <v>57</v>
      </c>
      <c r="B208">
        <v>7</v>
      </c>
      <c r="C208">
        <v>11</v>
      </c>
      <c r="D208" t="s">
        <v>15</v>
      </c>
      <c r="E208" t="s">
        <v>13</v>
      </c>
      <c r="F208">
        <v>8</v>
      </c>
      <c r="G208">
        <v>71</v>
      </c>
      <c r="H208">
        <v>54.671999999999997</v>
      </c>
      <c r="I208">
        <v>6</v>
      </c>
      <c r="J208" t="s">
        <v>2</v>
      </c>
      <c r="K208" s="1">
        <v>8.0664351851851849E-4</v>
      </c>
      <c r="L208">
        <f t="shared" si="2"/>
        <v>11</v>
      </c>
    </row>
    <row r="209" spans="1:12" x14ac:dyDescent="0.3">
      <c r="A209" t="s">
        <v>57</v>
      </c>
      <c r="B209">
        <v>8</v>
      </c>
      <c r="C209">
        <v>20</v>
      </c>
      <c r="D209" t="s">
        <v>31</v>
      </c>
      <c r="E209" t="s">
        <v>32</v>
      </c>
      <c r="F209">
        <v>12</v>
      </c>
      <c r="G209">
        <v>71</v>
      </c>
      <c r="H209">
        <v>60.354999999999997</v>
      </c>
      <c r="I209">
        <v>4</v>
      </c>
      <c r="J209" t="s">
        <v>2</v>
      </c>
      <c r="K209" s="1">
        <v>8.1163194444444447E-4</v>
      </c>
      <c r="L209">
        <f t="shared" si="2"/>
        <v>11</v>
      </c>
    </row>
    <row r="210" spans="1:12" x14ac:dyDescent="0.3">
      <c r="A210" t="s">
        <v>57</v>
      </c>
      <c r="B210">
        <v>9</v>
      </c>
      <c r="C210">
        <v>3</v>
      </c>
      <c r="D210" t="s">
        <v>33</v>
      </c>
      <c r="E210" t="s">
        <v>34</v>
      </c>
      <c r="F210">
        <v>11</v>
      </c>
      <c r="G210">
        <v>71</v>
      </c>
      <c r="H210">
        <v>61.168999999999997</v>
      </c>
      <c r="I210">
        <v>2</v>
      </c>
      <c r="J210" t="s">
        <v>2</v>
      </c>
      <c r="K210" s="1">
        <v>8.1511574074074071E-4</v>
      </c>
      <c r="L210">
        <f t="shared" si="2"/>
        <v>11</v>
      </c>
    </row>
    <row r="211" spans="1:12" x14ac:dyDescent="0.3">
      <c r="A211" t="s">
        <v>57</v>
      </c>
      <c r="B211">
        <v>10</v>
      </c>
      <c r="C211">
        <v>10</v>
      </c>
      <c r="D211" t="s">
        <v>41</v>
      </c>
      <c r="E211" t="s">
        <v>40</v>
      </c>
      <c r="F211">
        <v>13</v>
      </c>
      <c r="G211">
        <v>71</v>
      </c>
      <c r="H211">
        <v>61.765999999999998</v>
      </c>
      <c r="I211">
        <v>1</v>
      </c>
      <c r="J211" t="s">
        <v>2</v>
      </c>
      <c r="K211" s="1">
        <v>8.0565972222222215E-4</v>
      </c>
      <c r="L211">
        <f t="shared" si="2"/>
        <v>11</v>
      </c>
    </row>
    <row r="212" spans="1:12" x14ac:dyDescent="0.3">
      <c r="A212" t="s">
        <v>57</v>
      </c>
      <c r="B212">
        <v>11</v>
      </c>
      <c r="C212">
        <v>16</v>
      </c>
      <c r="D212" t="s">
        <v>18</v>
      </c>
      <c r="E212" t="s">
        <v>17</v>
      </c>
      <c r="F212">
        <v>6</v>
      </c>
      <c r="G212">
        <v>71</v>
      </c>
      <c r="H212">
        <v>67.055999999999997</v>
      </c>
      <c r="I212">
        <v>0</v>
      </c>
      <c r="J212" t="s">
        <v>2</v>
      </c>
      <c r="K212" s="1">
        <v>8.0537037037037035E-4</v>
      </c>
      <c r="L212">
        <f t="shared" si="2"/>
        <v>11</v>
      </c>
    </row>
    <row r="213" spans="1:12" x14ac:dyDescent="0.3">
      <c r="A213" t="s">
        <v>57</v>
      </c>
      <c r="B213">
        <v>12</v>
      </c>
      <c r="C213">
        <v>31</v>
      </c>
      <c r="D213" t="s">
        <v>39</v>
      </c>
      <c r="E213" t="s">
        <v>40</v>
      </c>
      <c r="F213">
        <v>10</v>
      </c>
      <c r="G213">
        <v>71</v>
      </c>
      <c r="H213">
        <v>68.325000000000003</v>
      </c>
      <c r="I213">
        <v>0</v>
      </c>
      <c r="J213" t="s">
        <v>2</v>
      </c>
      <c r="K213" s="1">
        <v>8.0612268518518522E-4</v>
      </c>
      <c r="L213">
        <f t="shared" si="2"/>
        <v>11</v>
      </c>
    </row>
    <row r="214" spans="1:12" x14ac:dyDescent="0.3">
      <c r="A214" t="s">
        <v>57</v>
      </c>
      <c r="B214">
        <v>13</v>
      </c>
      <c r="C214">
        <v>18</v>
      </c>
      <c r="D214" t="s">
        <v>27</v>
      </c>
      <c r="E214" t="s">
        <v>26</v>
      </c>
      <c r="F214">
        <v>17</v>
      </c>
      <c r="G214">
        <v>70</v>
      </c>
      <c r="H214" t="s">
        <v>30</v>
      </c>
      <c r="I214">
        <v>0</v>
      </c>
      <c r="J214" t="s">
        <v>2</v>
      </c>
      <c r="K214" s="1">
        <v>8.1184027777777776E-4</v>
      </c>
      <c r="L214">
        <f t="shared" si="2"/>
        <v>11</v>
      </c>
    </row>
    <row r="215" spans="1:12" x14ac:dyDescent="0.3">
      <c r="A215" t="s">
        <v>57</v>
      </c>
      <c r="B215">
        <v>14</v>
      </c>
      <c r="C215">
        <v>22</v>
      </c>
      <c r="D215" t="s">
        <v>35</v>
      </c>
      <c r="E215" t="s">
        <v>34</v>
      </c>
      <c r="F215">
        <v>14</v>
      </c>
      <c r="G215">
        <v>70</v>
      </c>
      <c r="H215" t="s">
        <v>30</v>
      </c>
      <c r="I215">
        <v>0</v>
      </c>
      <c r="J215" t="s">
        <v>2</v>
      </c>
      <c r="K215" s="1">
        <v>8.1386574074074076E-4</v>
      </c>
      <c r="L215">
        <f t="shared" ref="L215:L278" si="3">L195+1</f>
        <v>11</v>
      </c>
    </row>
    <row r="216" spans="1:12" x14ac:dyDescent="0.3">
      <c r="A216" t="s">
        <v>57</v>
      </c>
      <c r="B216">
        <v>15</v>
      </c>
      <c r="C216">
        <v>23</v>
      </c>
      <c r="D216" t="s">
        <v>36</v>
      </c>
      <c r="E216" t="s">
        <v>37</v>
      </c>
      <c r="F216">
        <v>16</v>
      </c>
      <c r="G216">
        <v>70</v>
      </c>
      <c r="H216" t="s">
        <v>30</v>
      </c>
      <c r="I216">
        <v>0</v>
      </c>
      <c r="J216" t="s">
        <v>2</v>
      </c>
      <c r="K216" s="1">
        <v>8.1439814814814819E-4</v>
      </c>
      <c r="L216">
        <f t="shared" si="3"/>
        <v>11</v>
      </c>
    </row>
    <row r="217" spans="1:12" x14ac:dyDescent="0.3">
      <c r="A217" t="s">
        <v>57</v>
      </c>
      <c r="B217">
        <v>16</v>
      </c>
      <c r="C217">
        <v>77</v>
      </c>
      <c r="D217" t="s">
        <v>42</v>
      </c>
      <c r="E217" t="s">
        <v>29</v>
      </c>
      <c r="F217">
        <v>18</v>
      </c>
      <c r="G217">
        <v>70</v>
      </c>
      <c r="H217" t="s">
        <v>30</v>
      </c>
      <c r="I217">
        <v>0</v>
      </c>
      <c r="J217" t="s">
        <v>2</v>
      </c>
      <c r="K217" s="1">
        <v>8.1538194444444442E-4</v>
      </c>
      <c r="L217">
        <f t="shared" si="3"/>
        <v>11</v>
      </c>
    </row>
    <row r="218" spans="1:12" x14ac:dyDescent="0.3">
      <c r="A218" t="s">
        <v>57</v>
      </c>
      <c r="B218">
        <v>17</v>
      </c>
      <c r="C218">
        <v>24</v>
      </c>
      <c r="D218" t="s">
        <v>28</v>
      </c>
      <c r="E218" t="s">
        <v>29</v>
      </c>
      <c r="F218">
        <v>20</v>
      </c>
      <c r="G218">
        <v>70</v>
      </c>
      <c r="H218" t="s">
        <v>30</v>
      </c>
      <c r="I218">
        <v>0</v>
      </c>
      <c r="J218" t="s">
        <v>2</v>
      </c>
      <c r="K218" s="1">
        <v>8.1562499999999994E-4</v>
      </c>
      <c r="L218">
        <f t="shared" si="3"/>
        <v>11</v>
      </c>
    </row>
    <row r="219" spans="1:12" x14ac:dyDescent="0.3">
      <c r="A219" t="s">
        <v>57</v>
      </c>
      <c r="B219">
        <v>18</v>
      </c>
      <c r="C219">
        <v>14</v>
      </c>
      <c r="D219" t="s">
        <v>25</v>
      </c>
      <c r="E219" t="s">
        <v>26</v>
      </c>
      <c r="F219">
        <v>15</v>
      </c>
      <c r="G219">
        <v>70</v>
      </c>
      <c r="H219" t="s">
        <v>30</v>
      </c>
      <c r="I219">
        <v>0</v>
      </c>
      <c r="J219" t="s">
        <v>14</v>
      </c>
      <c r="K219" s="1">
        <v>7.8349537037037038E-4</v>
      </c>
      <c r="L219">
        <f t="shared" si="3"/>
        <v>11</v>
      </c>
    </row>
    <row r="220" spans="1:12" x14ac:dyDescent="0.3">
      <c r="A220" t="s">
        <v>57</v>
      </c>
      <c r="B220">
        <v>19</v>
      </c>
      <c r="C220">
        <v>2</v>
      </c>
      <c r="D220" t="s">
        <v>43</v>
      </c>
      <c r="E220" t="s">
        <v>37</v>
      </c>
      <c r="F220">
        <v>19</v>
      </c>
      <c r="G220">
        <v>69</v>
      </c>
      <c r="H220" t="s">
        <v>44</v>
      </c>
      <c r="I220">
        <v>0</v>
      </c>
      <c r="J220" t="s">
        <v>2</v>
      </c>
      <c r="K220" s="1">
        <v>8.1488425925925934E-4</v>
      </c>
      <c r="L220">
        <f t="shared" si="3"/>
        <v>11</v>
      </c>
    </row>
    <row r="221" spans="1:12" x14ac:dyDescent="0.3">
      <c r="A221" t="s">
        <v>57</v>
      </c>
      <c r="B221">
        <v>20</v>
      </c>
      <c r="C221">
        <v>4</v>
      </c>
      <c r="D221" t="s">
        <v>21</v>
      </c>
      <c r="E221" t="s">
        <v>22</v>
      </c>
      <c r="F221">
        <v>2</v>
      </c>
      <c r="G221">
        <v>64</v>
      </c>
      <c r="H221" t="s">
        <v>58</v>
      </c>
      <c r="I221">
        <v>0</v>
      </c>
      <c r="J221" t="s">
        <v>2</v>
      </c>
      <c r="K221" s="1">
        <v>7.8722222222222225E-4</v>
      </c>
      <c r="L221">
        <f t="shared" si="3"/>
        <v>11</v>
      </c>
    </row>
    <row r="222" spans="1:12" x14ac:dyDescent="0.3">
      <c r="A222" t="s">
        <v>59</v>
      </c>
      <c r="B222">
        <v>1</v>
      </c>
      <c r="C222">
        <v>44</v>
      </c>
      <c r="D222" t="s">
        <v>23</v>
      </c>
      <c r="E222" t="s">
        <v>20</v>
      </c>
      <c r="F222">
        <v>2</v>
      </c>
      <c r="G222">
        <v>52</v>
      </c>
      <c r="H222" s="1">
        <v>5.7257627314814818E-2</v>
      </c>
      <c r="I222">
        <v>25</v>
      </c>
      <c r="J222" t="s">
        <v>2</v>
      </c>
      <c r="K222" s="1">
        <v>1.0351620370370371E-3</v>
      </c>
      <c r="L222">
        <f t="shared" si="3"/>
        <v>12</v>
      </c>
    </row>
    <row r="223" spans="1:12" x14ac:dyDescent="0.3">
      <c r="A223" t="s">
        <v>59</v>
      </c>
      <c r="B223">
        <v>2</v>
      </c>
      <c r="C223">
        <v>1</v>
      </c>
      <c r="D223" t="s">
        <v>12</v>
      </c>
      <c r="E223" t="s">
        <v>13</v>
      </c>
      <c r="F223">
        <v>4</v>
      </c>
      <c r="G223">
        <v>52</v>
      </c>
      <c r="H223">
        <v>1.4650000000000001</v>
      </c>
      <c r="I223">
        <v>18</v>
      </c>
      <c r="J223" t="s">
        <v>2</v>
      </c>
      <c r="K223" s="1">
        <v>1.0295370370370369E-3</v>
      </c>
      <c r="L223">
        <f t="shared" si="3"/>
        <v>12</v>
      </c>
    </row>
    <row r="224" spans="1:12" x14ac:dyDescent="0.3">
      <c r="A224" t="s">
        <v>59</v>
      </c>
      <c r="B224">
        <v>3</v>
      </c>
      <c r="C224">
        <v>4</v>
      </c>
      <c r="D224" t="s">
        <v>21</v>
      </c>
      <c r="E224" t="s">
        <v>22</v>
      </c>
      <c r="F224">
        <v>3</v>
      </c>
      <c r="G224">
        <v>52</v>
      </c>
      <c r="H224">
        <v>7.5469999999999997</v>
      </c>
      <c r="I224">
        <v>15</v>
      </c>
      <c r="J224" t="s">
        <v>2</v>
      </c>
      <c r="K224" s="1">
        <v>1.033125E-3</v>
      </c>
      <c r="L224">
        <f t="shared" si="3"/>
        <v>12</v>
      </c>
    </row>
    <row r="225" spans="1:12" x14ac:dyDescent="0.3">
      <c r="A225" t="s">
        <v>59</v>
      </c>
      <c r="B225">
        <v>4</v>
      </c>
      <c r="C225">
        <v>81</v>
      </c>
      <c r="D225" t="s">
        <v>24</v>
      </c>
      <c r="E225" t="s">
        <v>22</v>
      </c>
      <c r="F225">
        <v>5</v>
      </c>
      <c r="G225">
        <v>52</v>
      </c>
      <c r="H225">
        <v>12.429</v>
      </c>
      <c r="I225">
        <v>12</v>
      </c>
      <c r="J225" t="s">
        <v>2</v>
      </c>
      <c r="K225" s="1">
        <v>1.027175925925926E-3</v>
      </c>
      <c r="L225">
        <f t="shared" si="3"/>
        <v>12</v>
      </c>
    </row>
    <row r="226" spans="1:12" x14ac:dyDescent="0.3">
      <c r="A226" t="s">
        <v>59</v>
      </c>
      <c r="B226">
        <v>5</v>
      </c>
      <c r="C226">
        <v>55</v>
      </c>
      <c r="D226" t="s">
        <v>16</v>
      </c>
      <c r="E226" t="s">
        <v>17</v>
      </c>
      <c r="F226">
        <v>7</v>
      </c>
      <c r="G226">
        <v>52</v>
      </c>
      <c r="H226">
        <v>47.317999999999998</v>
      </c>
      <c r="I226">
        <v>11</v>
      </c>
      <c r="J226" t="s">
        <v>14</v>
      </c>
      <c r="K226" s="1">
        <v>1.0219097222222222E-3</v>
      </c>
      <c r="L226">
        <f t="shared" si="3"/>
        <v>12</v>
      </c>
    </row>
    <row r="227" spans="1:12" x14ac:dyDescent="0.3">
      <c r="A227" t="s">
        <v>59</v>
      </c>
      <c r="B227">
        <v>6</v>
      </c>
      <c r="C227">
        <v>27</v>
      </c>
      <c r="D227" t="s">
        <v>38</v>
      </c>
      <c r="E227" t="s">
        <v>32</v>
      </c>
      <c r="F227">
        <v>6</v>
      </c>
      <c r="G227">
        <v>52</v>
      </c>
      <c r="H227">
        <v>55.722000000000001</v>
      </c>
      <c r="I227">
        <v>8</v>
      </c>
      <c r="J227" t="s">
        <v>2</v>
      </c>
      <c r="K227" s="1">
        <v>1.0397685185185184E-3</v>
      </c>
      <c r="L227">
        <f t="shared" si="3"/>
        <v>12</v>
      </c>
    </row>
    <row r="228" spans="1:12" x14ac:dyDescent="0.3">
      <c r="A228" t="s">
        <v>59</v>
      </c>
      <c r="B228">
        <v>7</v>
      </c>
      <c r="C228">
        <v>18</v>
      </c>
      <c r="D228" t="s">
        <v>27</v>
      </c>
      <c r="E228" t="s">
        <v>26</v>
      </c>
      <c r="F228">
        <v>8</v>
      </c>
      <c r="G228">
        <v>52</v>
      </c>
      <c r="H228">
        <v>56.569000000000003</v>
      </c>
      <c r="I228">
        <v>6</v>
      </c>
      <c r="J228" t="s">
        <v>2</v>
      </c>
      <c r="K228" s="1">
        <v>1.040474537037037E-3</v>
      </c>
      <c r="L228">
        <f t="shared" si="3"/>
        <v>12</v>
      </c>
    </row>
    <row r="229" spans="1:12" x14ac:dyDescent="0.3">
      <c r="A229" t="s">
        <v>59</v>
      </c>
      <c r="B229">
        <v>8</v>
      </c>
      <c r="C229">
        <v>14</v>
      </c>
      <c r="D229" t="s">
        <v>25</v>
      </c>
      <c r="E229" t="s">
        <v>26</v>
      </c>
      <c r="F229">
        <v>10</v>
      </c>
      <c r="G229">
        <v>52</v>
      </c>
      <c r="H229">
        <v>63.576999999999998</v>
      </c>
      <c r="I229">
        <v>4</v>
      </c>
      <c r="J229" t="s">
        <v>2</v>
      </c>
      <c r="K229" s="1">
        <v>1.0383101851851853E-3</v>
      </c>
      <c r="L229">
        <f t="shared" si="3"/>
        <v>12</v>
      </c>
    </row>
    <row r="230" spans="1:12" x14ac:dyDescent="0.3">
      <c r="A230" t="s">
        <v>59</v>
      </c>
      <c r="B230">
        <v>9</v>
      </c>
      <c r="C230">
        <v>23</v>
      </c>
      <c r="D230" t="s">
        <v>36</v>
      </c>
      <c r="E230" t="s">
        <v>37</v>
      </c>
      <c r="F230">
        <v>9</v>
      </c>
      <c r="G230">
        <v>52</v>
      </c>
      <c r="H230">
        <v>68.387</v>
      </c>
      <c r="I230">
        <v>2</v>
      </c>
      <c r="J230" t="s">
        <v>2</v>
      </c>
      <c r="K230" s="1">
        <v>1.0384027777777778E-3</v>
      </c>
      <c r="L230">
        <f t="shared" si="3"/>
        <v>12</v>
      </c>
    </row>
    <row r="231" spans="1:12" x14ac:dyDescent="0.3">
      <c r="A231" t="s">
        <v>59</v>
      </c>
      <c r="B231">
        <v>10</v>
      </c>
      <c r="C231">
        <v>22</v>
      </c>
      <c r="D231" t="s">
        <v>35</v>
      </c>
      <c r="E231" t="s">
        <v>34</v>
      </c>
      <c r="F231">
        <v>13</v>
      </c>
      <c r="G231">
        <v>52</v>
      </c>
      <c r="H231">
        <v>79.302999999999997</v>
      </c>
      <c r="I231">
        <v>1</v>
      </c>
      <c r="J231" t="s">
        <v>2</v>
      </c>
      <c r="K231" s="1">
        <v>1.0443171296296296E-3</v>
      </c>
      <c r="L231">
        <f t="shared" si="3"/>
        <v>12</v>
      </c>
    </row>
    <row r="232" spans="1:12" x14ac:dyDescent="0.3">
      <c r="A232" t="s">
        <v>59</v>
      </c>
      <c r="B232">
        <v>11</v>
      </c>
      <c r="C232">
        <v>2</v>
      </c>
      <c r="D232" t="s">
        <v>43</v>
      </c>
      <c r="E232" t="s">
        <v>37</v>
      </c>
      <c r="F232">
        <v>12</v>
      </c>
      <c r="G232">
        <v>52</v>
      </c>
      <c r="H232">
        <v>88.96</v>
      </c>
      <c r="I232">
        <v>0</v>
      </c>
      <c r="J232" t="s">
        <v>2</v>
      </c>
      <c r="K232" s="1">
        <v>1.0413425925925926E-3</v>
      </c>
      <c r="L232">
        <f t="shared" si="3"/>
        <v>12</v>
      </c>
    </row>
    <row r="233" spans="1:12" x14ac:dyDescent="0.3">
      <c r="A233" t="s">
        <v>59</v>
      </c>
      <c r="B233">
        <v>12</v>
      </c>
      <c r="C233">
        <v>20</v>
      </c>
      <c r="D233" t="s">
        <v>31</v>
      </c>
      <c r="E233" t="s">
        <v>32</v>
      </c>
      <c r="F233">
        <v>17</v>
      </c>
      <c r="G233">
        <v>52</v>
      </c>
      <c r="H233">
        <v>90.153000000000006</v>
      </c>
      <c r="I233">
        <v>0</v>
      </c>
      <c r="J233" t="s">
        <v>2</v>
      </c>
      <c r="K233" s="1">
        <v>1.0427430555555557E-3</v>
      </c>
      <c r="L233">
        <f t="shared" si="3"/>
        <v>12</v>
      </c>
    </row>
    <row r="234" spans="1:12" x14ac:dyDescent="0.3">
      <c r="A234" t="s">
        <v>59</v>
      </c>
      <c r="B234">
        <v>13</v>
      </c>
      <c r="C234">
        <v>3</v>
      </c>
      <c r="D234" t="s">
        <v>33</v>
      </c>
      <c r="E234" t="s">
        <v>34</v>
      </c>
      <c r="F234">
        <v>15</v>
      </c>
      <c r="G234">
        <v>51</v>
      </c>
      <c r="H234" t="s">
        <v>30</v>
      </c>
      <c r="I234">
        <v>0</v>
      </c>
      <c r="J234" t="s">
        <v>2</v>
      </c>
      <c r="K234" s="1">
        <v>1.0501736111111111E-3</v>
      </c>
      <c r="L234">
        <f t="shared" si="3"/>
        <v>12</v>
      </c>
    </row>
    <row r="235" spans="1:12" x14ac:dyDescent="0.3">
      <c r="A235" t="s">
        <v>59</v>
      </c>
      <c r="B235">
        <v>14</v>
      </c>
      <c r="C235">
        <v>16</v>
      </c>
      <c r="D235" t="s">
        <v>18</v>
      </c>
      <c r="E235" t="s">
        <v>17</v>
      </c>
      <c r="F235">
        <v>11</v>
      </c>
      <c r="G235">
        <v>51</v>
      </c>
      <c r="H235" t="s">
        <v>30</v>
      </c>
      <c r="I235">
        <v>0</v>
      </c>
      <c r="J235" t="s">
        <v>2</v>
      </c>
      <c r="K235" s="1">
        <v>1.03875E-3</v>
      </c>
      <c r="L235">
        <f t="shared" si="3"/>
        <v>12</v>
      </c>
    </row>
    <row r="236" spans="1:12" x14ac:dyDescent="0.3">
      <c r="A236" t="s">
        <v>59</v>
      </c>
      <c r="B236">
        <v>15</v>
      </c>
      <c r="C236">
        <v>77</v>
      </c>
      <c r="D236" t="s">
        <v>42</v>
      </c>
      <c r="E236" t="s">
        <v>29</v>
      </c>
      <c r="F236">
        <v>16</v>
      </c>
      <c r="G236">
        <v>51</v>
      </c>
      <c r="H236" t="s">
        <v>30</v>
      </c>
      <c r="I236">
        <v>0</v>
      </c>
      <c r="J236" t="s">
        <v>2</v>
      </c>
      <c r="K236" s="1">
        <v>1.0564467592592594E-3</v>
      </c>
      <c r="L236">
        <f t="shared" si="3"/>
        <v>12</v>
      </c>
    </row>
    <row r="237" spans="1:12" x14ac:dyDescent="0.3">
      <c r="A237" t="s">
        <v>59</v>
      </c>
      <c r="B237">
        <v>16</v>
      </c>
      <c r="C237">
        <v>31</v>
      </c>
      <c r="D237" t="s">
        <v>39</v>
      </c>
      <c r="E237" t="s">
        <v>40</v>
      </c>
      <c r="F237">
        <v>18</v>
      </c>
      <c r="G237">
        <v>50</v>
      </c>
      <c r="H237" t="s">
        <v>44</v>
      </c>
      <c r="I237">
        <v>0</v>
      </c>
      <c r="J237" t="s">
        <v>2</v>
      </c>
      <c r="K237" s="1">
        <v>1.0517939814814815E-3</v>
      </c>
      <c r="L237">
        <f t="shared" si="3"/>
        <v>12</v>
      </c>
    </row>
    <row r="238" spans="1:12" x14ac:dyDescent="0.3">
      <c r="A238" t="s">
        <v>59</v>
      </c>
      <c r="B238">
        <v>17</v>
      </c>
      <c r="C238">
        <v>11</v>
      </c>
      <c r="D238" t="s">
        <v>15</v>
      </c>
      <c r="E238" t="s">
        <v>13</v>
      </c>
      <c r="F238">
        <v>20</v>
      </c>
      <c r="G238">
        <v>50</v>
      </c>
      <c r="H238" t="s">
        <v>44</v>
      </c>
      <c r="I238">
        <v>0</v>
      </c>
      <c r="J238" t="s">
        <v>2</v>
      </c>
      <c r="K238" s="1">
        <v>1.0382754629629628E-3</v>
      </c>
      <c r="L238">
        <f t="shared" si="3"/>
        <v>12</v>
      </c>
    </row>
    <row r="239" spans="1:12" x14ac:dyDescent="0.3">
      <c r="A239" t="s">
        <v>59</v>
      </c>
      <c r="B239">
        <v>18</v>
      </c>
      <c r="C239">
        <v>24</v>
      </c>
      <c r="D239" t="s">
        <v>28</v>
      </c>
      <c r="E239" t="s">
        <v>29</v>
      </c>
      <c r="F239">
        <v>14</v>
      </c>
      <c r="G239">
        <v>50</v>
      </c>
      <c r="H239" t="s">
        <v>44</v>
      </c>
      <c r="I239">
        <v>0</v>
      </c>
      <c r="J239" t="s">
        <v>2</v>
      </c>
      <c r="K239" s="1">
        <v>1.0534027777777777E-3</v>
      </c>
      <c r="L239">
        <f t="shared" si="3"/>
        <v>12</v>
      </c>
    </row>
    <row r="240" spans="1:12" x14ac:dyDescent="0.3">
      <c r="A240" t="s">
        <v>59</v>
      </c>
      <c r="B240" t="s">
        <v>47</v>
      </c>
      <c r="C240">
        <v>63</v>
      </c>
      <c r="D240" t="s">
        <v>19</v>
      </c>
      <c r="E240" t="s">
        <v>20</v>
      </c>
      <c r="F240">
        <v>1</v>
      </c>
      <c r="G240">
        <v>33</v>
      </c>
      <c r="H240" t="s">
        <v>48</v>
      </c>
      <c r="I240">
        <v>0</v>
      </c>
      <c r="J240" t="s">
        <v>2</v>
      </c>
      <c r="K240" s="1">
        <v>1.0566898148148148E-3</v>
      </c>
      <c r="L240">
        <f t="shared" si="3"/>
        <v>12</v>
      </c>
    </row>
    <row r="241" spans="1:12" x14ac:dyDescent="0.3">
      <c r="A241" t="s">
        <v>59</v>
      </c>
      <c r="B241" t="s">
        <v>47</v>
      </c>
      <c r="C241">
        <v>10</v>
      </c>
      <c r="D241" t="s">
        <v>41</v>
      </c>
      <c r="E241" t="s">
        <v>40</v>
      </c>
      <c r="F241">
        <v>19</v>
      </c>
      <c r="G241">
        <v>0</v>
      </c>
      <c r="H241" t="s">
        <v>60</v>
      </c>
      <c r="I241">
        <v>0</v>
      </c>
      <c r="J241" t="s">
        <v>2</v>
      </c>
      <c r="L241">
        <f t="shared" si="3"/>
        <v>12</v>
      </c>
    </row>
    <row r="242" spans="1:12" x14ac:dyDescent="0.3">
      <c r="A242" t="s">
        <v>61</v>
      </c>
      <c r="B242">
        <v>1</v>
      </c>
      <c r="C242">
        <v>81</v>
      </c>
      <c r="D242" t="s">
        <v>24</v>
      </c>
      <c r="E242" t="s">
        <v>22</v>
      </c>
      <c r="F242">
        <v>2</v>
      </c>
      <c r="G242">
        <v>70</v>
      </c>
      <c r="H242" s="1">
        <v>6.8078576388888881E-2</v>
      </c>
      <c r="I242">
        <v>25</v>
      </c>
      <c r="J242" t="s">
        <v>2</v>
      </c>
      <c r="K242" s="1">
        <v>9.4578703703703708E-4</v>
      </c>
      <c r="L242">
        <f t="shared" si="3"/>
        <v>13</v>
      </c>
    </row>
    <row r="243" spans="1:12" x14ac:dyDescent="0.3">
      <c r="A243" t="s">
        <v>61</v>
      </c>
      <c r="B243">
        <v>2</v>
      </c>
      <c r="C243">
        <v>4</v>
      </c>
      <c r="D243" t="s">
        <v>21</v>
      </c>
      <c r="E243" t="s">
        <v>22</v>
      </c>
      <c r="F243">
        <v>1</v>
      </c>
      <c r="G243">
        <v>70</v>
      </c>
      <c r="H243">
        <v>2.141</v>
      </c>
      <c r="I243">
        <v>18</v>
      </c>
      <c r="J243" t="s">
        <v>2</v>
      </c>
      <c r="K243" s="1">
        <v>9.4574074074074081E-4</v>
      </c>
      <c r="L243">
        <f t="shared" si="3"/>
        <v>13</v>
      </c>
    </row>
    <row r="244" spans="1:12" x14ac:dyDescent="0.3">
      <c r="A244" t="s">
        <v>61</v>
      </c>
      <c r="B244">
        <v>3</v>
      </c>
      <c r="C244">
        <v>44</v>
      </c>
      <c r="D244" t="s">
        <v>23</v>
      </c>
      <c r="E244" t="s">
        <v>20</v>
      </c>
      <c r="F244">
        <v>5</v>
      </c>
      <c r="G244">
        <v>70</v>
      </c>
      <c r="H244">
        <v>14.88</v>
      </c>
      <c r="I244">
        <v>15</v>
      </c>
      <c r="J244" t="s">
        <v>2</v>
      </c>
      <c r="K244" s="1">
        <v>9.508449074074073E-4</v>
      </c>
      <c r="L244">
        <f t="shared" si="3"/>
        <v>13</v>
      </c>
    </row>
    <row r="245" spans="1:12" x14ac:dyDescent="0.3">
      <c r="A245" t="s">
        <v>61</v>
      </c>
      <c r="B245">
        <v>4</v>
      </c>
      <c r="C245">
        <v>16</v>
      </c>
      <c r="D245" t="s">
        <v>18</v>
      </c>
      <c r="E245" t="s">
        <v>17</v>
      </c>
      <c r="F245">
        <v>6</v>
      </c>
      <c r="G245">
        <v>70</v>
      </c>
      <c r="H245">
        <v>19.686</v>
      </c>
      <c r="I245">
        <v>12</v>
      </c>
      <c r="J245" t="s">
        <v>2</v>
      </c>
      <c r="K245" s="1">
        <v>9.5118055555555559E-4</v>
      </c>
      <c r="L245">
        <f t="shared" si="3"/>
        <v>13</v>
      </c>
    </row>
    <row r="246" spans="1:12" x14ac:dyDescent="0.3">
      <c r="A246" t="s">
        <v>61</v>
      </c>
      <c r="B246">
        <v>5</v>
      </c>
      <c r="C246">
        <v>1</v>
      </c>
      <c r="D246" t="s">
        <v>12</v>
      </c>
      <c r="E246" t="s">
        <v>13</v>
      </c>
      <c r="F246">
        <v>3</v>
      </c>
      <c r="G246">
        <v>70</v>
      </c>
      <c r="H246">
        <v>21.349</v>
      </c>
      <c r="I246">
        <v>10</v>
      </c>
      <c r="J246" t="s">
        <v>2</v>
      </c>
      <c r="K246" s="1">
        <v>9.3643518518518522E-4</v>
      </c>
      <c r="L246">
        <f t="shared" si="3"/>
        <v>13</v>
      </c>
    </row>
    <row r="247" spans="1:12" x14ac:dyDescent="0.3">
      <c r="A247" t="s">
        <v>61</v>
      </c>
      <c r="B247">
        <v>6</v>
      </c>
      <c r="C247">
        <v>55</v>
      </c>
      <c r="D247" t="s">
        <v>16</v>
      </c>
      <c r="E247" t="s">
        <v>17</v>
      </c>
      <c r="F247">
        <v>4</v>
      </c>
      <c r="G247">
        <v>70</v>
      </c>
      <c r="H247">
        <v>23.073</v>
      </c>
      <c r="I247">
        <v>8</v>
      </c>
      <c r="J247" t="s">
        <v>2</v>
      </c>
      <c r="K247" s="1">
        <v>9.4260416666666668E-4</v>
      </c>
      <c r="L247">
        <f t="shared" si="3"/>
        <v>13</v>
      </c>
    </row>
    <row r="248" spans="1:12" x14ac:dyDescent="0.3">
      <c r="A248" t="s">
        <v>61</v>
      </c>
      <c r="B248">
        <v>7</v>
      </c>
      <c r="C248">
        <v>11</v>
      </c>
      <c r="D248" t="s">
        <v>15</v>
      </c>
      <c r="E248" t="s">
        <v>13</v>
      </c>
      <c r="F248">
        <v>16</v>
      </c>
      <c r="G248">
        <v>70</v>
      </c>
      <c r="H248">
        <v>39.792000000000002</v>
      </c>
      <c r="I248">
        <v>6</v>
      </c>
      <c r="J248" t="s">
        <v>2</v>
      </c>
      <c r="K248" s="1">
        <v>9.386111111111112E-4</v>
      </c>
      <c r="L248">
        <f t="shared" si="3"/>
        <v>13</v>
      </c>
    </row>
    <row r="249" spans="1:12" x14ac:dyDescent="0.3">
      <c r="A249" t="s">
        <v>61</v>
      </c>
      <c r="B249">
        <v>8</v>
      </c>
      <c r="C249">
        <v>63</v>
      </c>
      <c r="D249" t="s">
        <v>19</v>
      </c>
      <c r="E249" t="s">
        <v>20</v>
      </c>
      <c r="F249">
        <v>17</v>
      </c>
      <c r="G249">
        <v>70</v>
      </c>
      <c r="H249">
        <v>42.368000000000002</v>
      </c>
      <c r="I249">
        <v>5</v>
      </c>
      <c r="J249" t="s">
        <v>14</v>
      </c>
      <c r="K249" s="1">
        <v>9.2945601851851859E-4</v>
      </c>
      <c r="L249">
        <f t="shared" si="3"/>
        <v>13</v>
      </c>
    </row>
    <row r="250" spans="1:12" x14ac:dyDescent="0.3">
      <c r="A250" t="s">
        <v>61</v>
      </c>
      <c r="B250">
        <v>9</v>
      </c>
      <c r="C250">
        <v>22</v>
      </c>
      <c r="D250" t="s">
        <v>35</v>
      </c>
      <c r="E250" t="s">
        <v>34</v>
      </c>
      <c r="F250">
        <v>10</v>
      </c>
      <c r="G250">
        <v>70</v>
      </c>
      <c r="H250">
        <v>77.259</v>
      </c>
      <c r="I250">
        <v>2</v>
      </c>
      <c r="J250" t="s">
        <v>2</v>
      </c>
      <c r="K250" s="1">
        <v>9.6681712962962965E-4</v>
      </c>
      <c r="L250">
        <f t="shared" si="3"/>
        <v>13</v>
      </c>
    </row>
    <row r="251" spans="1:12" x14ac:dyDescent="0.3">
      <c r="A251" t="s">
        <v>61</v>
      </c>
      <c r="B251">
        <v>10</v>
      </c>
      <c r="C251">
        <v>18</v>
      </c>
      <c r="D251" t="s">
        <v>27</v>
      </c>
      <c r="E251" t="s">
        <v>26</v>
      </c>
      <c r="F251">
        <v>8</v>
      </c>
      <c r="G251">
        <v>70</v>
      </c>
      <c r="H251">
        <v>77.975999999999999</v>
      </c>
      <c r="I251">
        <v>1</v>
      </c>
      <c r="J251" t="s">
        <v>2</v>
      </c>
      <c r="K251" s="1">
        <v>9.5298611111111105E-4</v>
      </c>
      <c r="L251">
        <f t="shared" si="3"/>
        <v>13</v>
      </c>
    </row>
    <row r="252" spans="1:12" x14ac:dyDescent="0.3">
      <c r="A252" t="s">
        <v>61</v>
      </c>
      <c r="B252">
        <v>11</v>
      </c>
      <c r="C252">
        <v>14</v>
      </c>
      <c r="D252" t="s">
        <v>25</v>
      </c>
      <c r="E252" t="s">
        <v>26</v>
      </c>
      <c r="F252">
        <v>7</v>
      </c>
      <c r="G252">
        <v>70</v>
      </c>
      <c r="H252">
        <v>82.46</v>
      </c>
      <c r="I252">
        <v>0</v>
      </c>
      <c r="J252" t="s">
        <v>2</v>
      </c>
      <c r="K252" s="1">
        <v>9.6137731481481486E-4</v>
      </c>
      <c r="L252">
        <f t="shared" si="3"/>
        <v>13</v>
      </c>
    </row>
    <row r="253" spans="1:12" x14ac:dyDescent="0.3">
      <c r="A253" t="s">
        <v>61</v>
      </c>
      <c r="B253">
        <v>12</v>
      </c>
      <c r="C253">
        <v>3</v>
      </c>
      <c r="D253" t="s">
        <v>33</v>
      </c>
      <c r="E253" t="s">
        <v>34</v>
      </c>
      <c r="F253">
        <v>9</v>
      </c>
      <c r="G253">
        <v>69</v>
      </c>
      <c r="H253" t="s">
        <v>30</v>
      </c>
      <c r="I253">
        <v>0</v>
      </c>
      <c r="J253" t="s">
        <v>2</v>
      </c>
      <c r="K253" s="1">
        <v>9.5648148148148144E-4</v>
      </c>
      <c r="L253">
        <f t="shared" si="3"/>
        <v>13</v>
      </c>
    </row>
    <row r="254" spans="1:12" x14ac:dyDescent="0.3">
      <c r="A254" t="s">
        <v>61</v>
      </c>
      <c r="B254">
        <v>13</v>
      </c>
      <c r="C254">
        <v>27</v>
      </c>
      <c r="D254" t="s">
        <v>38</v>
      </c>
      <c r="E254" t="s">
        <v>32</v>
      </c>
      <c r="F254">
        <v>11</v>
      </c>
      <c r="G254">
        <v>69</v>
      </c>
      <c r="H254" t="s">
        <v>30</v>
      </c>
      <c r="I254">
        <v>0</v>
      </c>
      <c r="J254" t="s">
        <v>2</v>
      </c>
      <c r="K254" s="1">
        <v>9.6598379629629627E-4</v>
      </c>
      <c r="L254">
        <f t="shared" si="3"/>
        <v>13</v>
      </c>
    </row>
    <row r="255" spans="1:12" x14ac:dyDescent="0.3">
      <c r="A255" t="s">
        <v>61</v>
      </c>
      <c r="B255">
        <v>14</v>
      </c>
      <c r="C255">
        <v>23</v>
      </c>
      <c r="D255" t="s">
        <v>36</v>
      </c>
      <c r="E255" t="s">
        <v>37</v>
      </c>
      <c r="F255">
        <v>13</v>
      </c>
      <c r="G255">
        <v>69</v>
      </c>
      <c r="H255" t="s">
        <v>30</v>
      </c>
      <c r="I255">
        <v>0</v>
      </c>
      <c r="J255" t="s">
        <v>2</v>
      </c>
      <c r="K255" s="1">
        <v>9.7141203703703712E-4</v>
      </c>
      <c r="L255">
        <f t="shared" si="3"/>
        <v>13</v>
      </c>
    </row>
    <row r="256" spans="1:12" x14ac:dyDescent="0.3">
      <c r="A256" t="s">
        <v>61</v>
      </c>
      <c r="B256">
        <v>15</v>
      </c>
      <c r="C256">
        <v>20</v>
      </c>
      <c r="D256" t="s">
        <v>31</v>
      </c>
      <c r="E256" t="s">
        <v>32</v>
      </c>
      <c r="F256">
        <v>15</v>
      </c>
      <c r="G256">
        <v>69</v>
      </c>
      <c r="H256" t="s">
        <v>30</v>
      </c>
      <c r="I256">
        <v>0</v>
      </c>
      <c r="J256" t="s">
        <v>2</v>
      </c>
      <c r="K256" s="1">
        <v>9.6704861111111113E-4</v>
      </c>
      <c r="L256">
        <f t="shared" si="3"/>
        <v>13</v>
      </c>
    </row>
    <row r="257" spans="1:12" x14ac:dyDescent="0.3">
      <c r="A257" t="s">
        <v>61</v>
      </c>
      <c r="B257">
        <v>16</v>
      </c>
      <c r="C257">
        <v>77</v>
      </c>
      <c r="D257" t="s">
        <v>42</v>
      </c>
      <c r="E257" t="s">
        <v>29</v>
      </c>
      <c r="F257">
        <v>12</v>
      </c>
      <c r="G257">
        <v>69</v>
      </c>
      <c r="H257" t="s">
        <v>30</v>
      </c>
      <c r="I257">
        <v>0</v>
      </c>
      <c r="J257" t="s">
        <v>2</v>
      </c>
      <c r="K257" s="1">
        <v>9.5824074074074073E-4</v>
      </c>
      <c r="L257">
        <f t="shared" si="3"/>
        <v>13</v>
      </c>
    </row>
    <row r="258" spans="1:12" x14ac:dyDescent="0.3">
      <c r="A258" t="s">
        <v>61</v>
      </c>
      <c r="B258">
        <v>17</v>
      </c>
      <c r="C258">
        <v>2</v>
      </c>
      <c r="D258" t="s">
        <v>43</v>
      </c>
      <c r="E258" t="s">
        <v>37</v>
      </c>
      <c r="F258">
        <v>14</v>
      </c>
      <c r="G258">
        <v>69</v>
      </c>
      <c r="H258" t="s">
        <v>30</v>
      </c>
      <c r="I258">
        <v>0</v>
      </c>
      <c r="J258" t="s">
        <v>2</v>
      </c>
      <c r="K258" s="1">
        <v>9.3241898148148155E-4</v>
      </c>
      <c r="L258">
        <f t="shared" si="3"/>
        <v>13</v>
      </c>
    </row>
    <row r="259" spans="1:12" x14ac:dyDescent="0.3">
      <c r="A259" t="s">
        <v>61</v>
      </c>
      <c r="B259">
        <v>18</v>
      </c>
      <c r="C259">
        <v>31</v>
      </c>
      <c r="D259" t="s">
        <v>39</v>
      </c>
      <c r="E259" t="s">
        <v>40</v>
      </c>
      <c r="F259">
        <v>19</v>
      </c>
      <c r="G259">
        <v>69</v>
      </c>
      <c r="H259" t="s">
        <v>30</v>
      </c>
      <c r="I259">
        <v>0</v>
      </c>
      <c r="J259" t="s">
        <v>2</v>
      </c>
      <c r="K259" s="1">
        <v>9.4456018518518522E-4</v>
      </c>
      <c r="L259">
        <f t="shared" si="3"/>
        <v>13</v>
      </c>
    </row>
    <row r="260" spans="1:12" x14ac:dyDescent="0.3">
      <c r="A260" t="s">
        <v>61</v>
      </c>
      <c r="B260">
        <v>19</v>
      </c>
      <c r="C260">
        <v>24</v>
      </c>
      <c r="D260" t="s">
        <v>28</v>
      </c>
      <c r="E260" t="s">
        <v>29</v>
      </c>
      <c r="F260">
        <v>18</v>
      </c>
      <c r="G260">
        <v>69</v>
      </c>
      <c r="H260" t="s">
        <v>30</v>
      </c>
      <c r="I260">
        <v>0</v>
      </c>
      <c r="J260" t="s">
        <v>2</v>
      </c>
      <c r="K260" s="1">
        <v>9.6628472222222211E-4</v>
      </c>
      <c r="L260">
        <f t="shared" si="3"/>
        <v>13</v>
      </c>
    </row>
    <row r="261" spans="1:12" x14ac:dyDescent="0.3">
      <c r="A261" t="s">
        <v>61</v>
      </c>
      <c r="B261" t="s">
        <v>47</v>
      </c>
      <c r="C261">
        <v>10</v>
      </c>
      <c r="D261" t="s">
        <v>41</v>
      </c>
      <c r="E261" t="s">
        <v>40</v>
      </c>
      <c r="F261">
        <v>20</v>
      </c>
      <c r="G261">
        <v>33</v>
      </c>
      <c r="H261" t="s">
        <v>48</v>
      </c>
      <c r="I261">
        <v>0</v>
      </c>
      <c r="J261" t="s">
        <v>2</v>
      </c>
      <c r="K261" s="1">
        <v>9.6458333333333335E-4</v>
      </c>
      <c r="L261">
        <f t="shared" si="3"/>
        <v>13</v>
      </c>
    </row>
    <row r="262" spans="1:12" x14ac:dyDescent="0.3">
      <c r="A262" t="s">
        <v>62</v>
      </c>
      <c r="B262" t="s">
        <v>63</v>
      </c>
      <c r="C262">
        <v>63</v>
      </c>
      <c r="D262" t="s">
        <v>19</v>
      </c>
      <c r="E262" t="s">
        <v>20</v>
      </c>
      <c r="F262">
        <v>6</v>
      </c>
      <c r="G262">
        <v>44</v>
      </c>
      <c r="H262" s="1">
        <v>5.5521296296296298E-2</v>
      </c>
      <c r="I262">
        <v>0</v>
      </c>
      <c r="J262" t="s">
        <v>2</v>
      </c>
      <c r="K262" s="1">
        <v>1.2397337962962963E-3</v>
      </c>
      <c r="L262">
        <f t="shared" si="3"/>
        <v>14</v>
      </c>
    </row>
    <row r="263" spans="1:12" x14ac:dyDescent="0.3">
      <c r="A263" t="s">
        <v>62</v>
      </c>
      <c r="B263">
        <v>1</v>
      </c>
      <c r="C263">
        <v>44</v>
      </c>
      <c r="D263" t="s">
        <v>23</v>
      </c>
      <c r="E263" t="s">
        <v>20</v>
      </c>
      <c r="F263">
        <v>3</v>
      </c>
      <c r="G263">
        <v>44</v>
      </c>
      <c r="H263">
        <v>0.52600000000000002</v>
      </c>
      <c r="I263">
        <v>25</v>
      </c>
      <c r="J263" t="s">
        <v>2</v>
      </c>
      <c r="K263" s="1">
        <v>1.234409722222222E-3</v>
      </c>
      <c r="L263">
        <f t="shared" si="3"/>
        <v>14</v>
      </c>
    </row>
    <row r="264" spans="1:12" x14ac:dyDescent="0.3">
      <c r="A264" t="s">
        <v>62</v>
      </c>
      <c r="B264">
        <v>2</v>
      </c>
      <c r="C264">
        <v>81</v>
      </c>
      <c r="D264" t="s">
        <v>24</v>
      </c>
      <c r="E264" t="s">
        <v>22</v>
      </c>
      <c r="F264">
        <v>5</v>
      </c>
      <c r="G264">
        <v>44</v>
      </c>
      <c r="H264">
        <v>1.173</v>
      </c>
      <c r="I264">
        <v>18</v>
      </c>
      <c r="J264" t="s">
        <v>2</v>
      </c>
      <c r="K264" s="1">
        <v>1.225E-3</v>
      </c>
      <c r="L264">
        <f t="shared" si="3"/>
        <v>14</v>
      </c>
    </row>
    <row r="265" spans="1:12" x14ac:dyDescent="0.3">
      <c r="A265" t="s">
        <v>62</v>
      </c>
      <c r="B265">
        <v>3</v>
      </c>
      <c r="C265">
        <v>16</v>
      </c>
      <c r="D265" t="s">
        <v>18</v>
      </c>
      <c r="E265" t="s">
        <v>17</v>
      </c>
      <c r="F265">
        <v>1</v>
      </c>
      <c r="G265">
        <v>44</v>
      </c>
      <c r="H265">
        <v>8.5489999999999995</v>
      </c>
      <c r="I265">
        <v>15</v>
      </c>
      <c r="J265" t="s">
        <v>2</v>
      </c>
      <c r="K265" s="1">
        <v>1.2385763888888889E-3</v>
      </c>
      <c r="L265">
        <f t="shared" si="3"/>
        <v>14</v>
      </c>
    </row>
    <row r="266" spans="1:12" x14ac:dyDescent="0.3">
      <c r="A266" t="s">
        <v>62</v>
      </c>
      <c r="B266">
        <v>4</v>
      </c>
      <c r="C266">
        <v>1</v>
      </c>
      <c r="D266" t="s">
        <v>12</v>
      </c>
      <c r="E266" t="s">
        <v>13</v>
      </c>
      <c r="F266">
        <v>11</v>
      </c>
      <c r="G266">
        <v>44</v>
      </c>
      <c r="H266">
        <v>9.2260000000000009</v>
      </c>
      <c r="I266">
        <v>12</v>
      </c>
      <c r="J266" t="s">
        <v>2</v>
      </c>
      <c r="K266" s="1">
        <v>1.2283333333333332E-3</v>
      </c>
      <c r="L266">
        <f t="shared" si="3"/>
        <v>14</v>
      </c>
    </row>
    <row r="267" spans="1:12" x14ac:dyDescent="0.3">
      <c r="A267" t="s">
        <v>62</v>
      </c>
      <c r="B267">
        <v>5</v>
      </c>
      <c r="C267">
        <v>4</v>
      </c>
      <c r="D267" t="s">
        <v>21</v>
      </c>
      <c r="E267" t="s">
        <v>22</v>
      </c>
      <c r="F267">
        <v>4</v>
      </c>
      <c r="G267">
        <v>44</v>
      </c>
      <c r="H267">
        <v>9.85</v>
      </c>
      <c r="I267">
        <v>10</v>
      </c>
      <c r="J267" t="s">
        <v>2</v>
      </c>
      <c r="K267" s="1">
        <v>1.2217939814814815E-3</v>
      </c>
      <c r="L267">
        <f t="shared" si="3"/>
        <v>14</v>
      </c>
    </row>
    <row r="268" spans="1:12" x14ac:dyDescent="0.3">
      <c r="A268" t="s">
        <v>62</v>
      </c>
      <c r="B268">
        <v>6</v>
      </c>
      <c r="C268">
        <v>55</v>
      </c>
      <c r="D268" t="s">
        <v>16</v>
      </c>
      <c r="E268" t="s">
        <v>17</v>
      </c>
      <c r="F268">
        <v>7</v>
      </c>
      <c r="G268">
        <v>44</v>
      </c>
      <c r="H268">
        <v>19.795000000000002</v>
      </c>
      <c r="I268">
        <v>8</v>
      </c>
      <c r="J268" t="s">
        <v>2</v>
      </c>
      <c r="K268" s="1">
        <v>1.2310648148148148E-3</v>
      </c>
      <c r="L268">
        <f t="shared" si="3"/>
        <v>14</v>
      </c>
    </row>
    <row r="269" spans="1:12" x14ac:dyDescent="0.3">
      <c r="A269" t="s">
        <v>62</v>
      </c>
      <c r="B269">
        <v>7</v>
      </c>
      <c r="C269">
        <v>11</v>
      </c>
      <c r="D269" t="s">
        <v>15</v>
      </c>
      <c r="E269" t="s">
        <v>13</v>
      </c>
      <c r="F269">
        <v>2</v>
      </c>
      <c r="G269">
        <v>44</v>
      </c>
      <c r="H269">
        <v>3.1949999999999998</v>
      </c>
      <c r="I269">
        <v>7</v>
      </c>
      <c r="J269" t="s">
        <v>14</v>
      </c>
      <c r="K269" s="1">
        <v>1.2118171296296295E-3</v>
      </c>
      <c r="L269">
        <f t="shared" si="3"/>
        <v>14</v>
      </c>
    </row>
    <row r="270" spans="1:12" x14ac:dyDescent="0.3">
      <c r="A270" t="s">
        <v>62</v>
      </c>
      <c r="B270">
        <v>8</v>
      </c>
      <c r="C270">
        <v>14</v>
      </c>
      <c r="D270" t="s">
        <v>25</v>
      </c>
      <c r="E270" t="s">
        <v>26</v>
      </c>
      <c r="F270">
        <v>8</v>
      </c>
      <c r="G270">
        <v>44</v>
      </c>
      <c r="H270">
        <v>49.963000000000001</v>
      </c>
      <c r="I270">
        <v>4</v>
      </c>
      <c r="J270" t="s">
        <v>2</v>
      </c>
      <c r="K270" s="1">
        <v>1.2505902777777778E-3</v>
      </c>
      <c r="L270">
        <f t="shared" si="3"/>
        <v>14</v>
      </c>
    </row>
    <row r="271" spans="1:12" x14ac:dyDescent="0.3">
      <c r="A271" t="s">
        <v>62</v>
      </c>
      <c r="B271">
        <v>9</v>
      </c>
      <c r="C271">
        <v>31</v>
      </c>
      <c r="D271" t="s">
        <v>39</v>
      </c>
      <c r="E271" t="s">
        <v>40</v>
      </c>
      <c r="F271">
        <v>9</v>
      </c>
      <c r="G271">
        <v>44</v>
      </c>
      <c r="H271">
        <v>52.552</v>
      </c>
      <c r="I271">
        <v>2</v>
      </c>
      <c r="J271" t="s">
        <v>2</v>
      </c>
      <c r="K271" s="1">
        <v>1.2379282407407406E-3</v>
      </c>
      <c r="L271">
        <f t="shared" si="3"/>
        <v>14</v>
      </c>
    </row>
    <row r="272" spans="1:12" x14ac:dyDescent="0.3">
      <c r="A272" t="s">
        <v>62</v>
      </c>
      <c r="B272">
        <v>10</v>
      </c>
      <c r="C272">
        <v>3</v>
      </c>
      <c r="D272" t="s">
        <v>33</v>
      </c>
      <c r="E272" t="s">
        <v>34</v>
      </c>
      <c r="F272">
        <v>13</v>
      </c>
      <c r="G272">
        <v>44</v>
      </c>
      <c r="H272">
        <v>54.926000000000002</v>
      </c>
      <c r="I272">
        <v>1</v>
      </c>
      <c r="J272" t="s">
        <v>2</v>
      </c>
      <c r="K272" s="1">
        <v>1.2434606481481483E-3</v>
      </c>
      <c r="L272">
        <f t="shared" si="3"/>
        <v>14</v>
      </c>
    </row>
    <row r="273" spans="1:12" x14ac:dyDescent="0.3">
      <c r="A273" t="s">
        <v>62</v>
      </c>
      <c r="B273">
        <v>11</v>
      </c>
      <c r="C273">
        <v>18</v>
      </c>
      <c r="D273" t="s">
        <v>27</v>
      </c>
      <c r="E273" t="s">
        <v>26</v>
      </c>
      <c r="F273">
        <v>15</v>
      </c>
      <c r="G273">
        <v>44</v>
      </c>
      <c r="H273">
        <v>63.011000000000003</v>
      </c>
      <c r="I273">
        <v>0</v>
      </c>
      <c r="J273" t="s">
        <v>2</v>
      </c>
      <c r="K273" s="1">
        <v>1.2512152777777777E-3</v>
      </c>
      <c r="L273">
        <f t="shared" si="3"/>
        <v>14</v>
      </c>
    </row>
    <row r="274" spans="1:12" x14ac:dyDescent="0.3">
      <c r="A274" t="s">
        <v>62</v>
      </c>
      <c r="B274">
        <v>12</v>
      </c>
      <c r="C274">
        <v>23</v>
      </c>
      <c r="D274" t="s">
        <v>36</v>
      </c>
      <c r="E274" t="s">
        <v>37</v>
      </c>
      <c r="F274">
        <v>10</v>
      </c>
      <c r="G274">
        <v>44</v>
      </c>
      <c r="H274">
        <v>63.651000000000003</v>
      </c>
      <c r="I274">
        <v>0</v>
      </c>
      <c r="J274" t="s">
        <v>2</v>
      </c>
      <c r="K274" s="1">
        <v>1.2499537037037039E-3</v>
      </c>
      <c r="L274">
        <f t="shared" si="3"/>
        <v>14</v>
      </c>
    </row>
    <row r="275" spans="1:12" x14ac:dyDescent="0.3">
      <c r="A275" t="s">
        <v>62</v>
      </c>
      <c r="B275">
        <v>13</v>
      </c>
      <c r="C275">
        <v>10</v>
      </c>
      <c r="D275" t="s">
        <v>41</v>
      </c>
      <c r="E275" t="s">
        <v>40</v>
      </c>
      <c r="F275">
        <v>12</v>
      </c>
      <c r="G275">
        <v>44</v>
      </c>
      <c r="H275">
        <v>64.364999999999995</v>
      </c>
      <c r="I275">
        <v>0</v>
      </c>
      <c r="J275" t="s">
        <v>2</v>
      </c>
      <c r="K275" s="1">
        <v>1.243263888888889E-3</v>
      </c>
      <c r="L275">
        <f t="shared" si="3"/>
        <v>14</v>
      </c>
    </row>
    <row r="276" spans="1:12" x14ac:dyDescent="0.3">
      <c r="A276" t="s">
        <v>62</v>
      </c>
      <c r="B276">
        <v>14</v>
      </c>
      <c r="C276">
        <v>20</v>
      </c>
      <c r="D276" t="s">
        <v>31</v>
      </c>
      <c r="E276" t="s">
        <v>32</v>
      </c>
      <c r="F276">
        <v>17</v>
      </c>
      <c r="G276">
        <v>44</v>
      </c>
      <c r="H276">
        <v>66.631</v>
      </c>
      <c r="I276">
        <v>0</v>
      </c>
      <c r="J276" t="s">
        <v>2</v>
      </c>
      <c r="K276" s="1">
        <v>1.2482407407407407E-3</v>
      </c>
      <c r="L276">
        <f t="shared" si="3"/>
        <v>14</v>
      </c>
    </row>
    <row r="277" spans="1:12" x14ac:dyDescent="0.3">
      <c r="A277" t="s">
        <v>62</v>
      </c>
      <c r="B277">
        <v>15</v>
      </c>
      <c r="C277">
        <v>77</v>
      </c>
      <c r="D277" t="s">
        <v>42</v>
      </c>
      <c r="E277" t="s">
        <v>29</v>
      </c>
      <c r="F277">
        <v>14</v>
      </c>
      <c r="G277">
        <v>44</v>
      </c>
      <c r="H277">
        <v>70.638000000000005</v>
      </c>
      <c r="I277">
        <v>0</v>
      </c>
      <c r="J277" t="s">
        <v>2</v>
      </c>
      <c r="K277" s="1">
        <v>1.2386458333333334E-3</v>
      </c>
      <c r="L277">
        <f t="shared" si="3"/>
        <v>14</v>
      </c>
    </row>
    <row r="278" spans="1:12" x14ac:dyDescent="0.3">
      <c r="A278" t="s">
        <v>62</v>
      </c>
      <c r="B278">
        <v>16</v>
      </c>
      <c r="C278">
        <v>22</v>
      </c>
      <c r="D278" t="s">
        <v>35</v>
      </c>
      <c r="E278" t="s">
        <v>34</v>
      </c>
      <c r="F278">
        <v>20</v>
      </c>
      <c r="G278">
        <v>44</v>
      </c>
      <c r="H278">
        <v>76.736999999999995</v>
      </c>
      <c r="I278">
        <v>0</v>
      </c>
      <c r="J278" t="s">
        <v>2</v>
      </c>
      <c r="K278" s="1">
        <v>1.2496412037037035E-3</v>
      </c>
      <c r="L278">
        <f t="shared" si="3"/>
        <v>14</v>
      </c>
    </row>
    <row r="279" spans="1:12" x14ac:dyDescent="0.3">
      <c r="A279" t="s">
        <v>62</v>
      </c>
      <c r="B279">
        <v>17</v>
      </c>
      <c r="C279">
        <v>2</v>
      </c>
      <c r="D279" t="s">
        <v>43</v>
      </c>
      <c r="E279" t="s">
        <v>37</v>
      </c>
      <c r="F279">
        <v>18</v>
      </c>
      <c r="G279">
        <v>44</v>
      </c>
      <c r="H279">
        <v>86.057000000000002</v>
      </c>
      <c r="I279">
        <v>0</v>
      </c>
      <c r="J279" t="s">
        <v>2</v>
      </c>
      <c r="K279" s="1">
        <v>1.2440972222222224E-3</v>
      </c>
      <c r="L279">
        <f t="shared" ref="L279:L342" si="4">L259+1</f>
        <v>14</v>
      </c>
    </row>
    <row r="280" spans="1:12" x14ac:dyDescent="0.3">
      <c r="A280" t="s">
        <v>62</v>
      </c>
      <c r="B280">
        <v>18</v>
      </c>
      <c r="C280">
        <v>27</v>
      </c>
      <c r="D280" t="s">
        <v>38</v>
      </c>
      <c r="E280" t="s">
        <v>32</v>
      </c>
      <c r="F280">
        <v>16</v>
      </c>
      <c r="G280">
        <v>44</v>
      </c>
      <c r="H280">
        <v>88.832999999999998</v>
      </c>
      <c r="I280">
        <v>0</v>
      </c>
      <c r="J280" t="s">
        <v>2</v>
      </c>
      <c r="K280" s="1">
        <v>1.2610416666666668E-3</v>
      </c>
      <c r="L280">
        <f t="shared" si="4"/>
        <v>14</v>
      </c>
    </row>
    <row r="281" spans="1:12" x14ac:dyDescent="0.3">
      <c r="A281" t="s">
        <v>62</v>
      </c>
      <c r="B281" t="s">
        <v>47</v>
      </c>
      <c r="C281">
        <v>24</v>
      </c>
      <c r="D281" t="s">
        <v>28</v>
      </c>
      <c r="E281" t="s">
        <v>29</v>
      </c>
      <c r="F281">
        <v>19</v>
      </c>
      <c r="G281">
        <v>5</v>
      </c>
      <c r="H281" t="s">
        <v>48</v>
      </c>
      <c r="I281">
        <v>0</v>
      </c>
      <c r="J281" t="s">
        <v>2</v>
      </c>
      <c r="K281" s="1">
        <v>1.2974421296296295E-3</v>
      </c>
      <c r="L281">
        <f t="shared" si="4"/>
        <v>14</v>
      </c>
    </row>
    <row r="282" spans="1:12" x14ac:dyDescent="0.3">
      <c r="A282" t="s">
        <v>64</v>
      </c>
      <c r="B282">
        <v>1</v>
      </c>
      <c r="C282">
        <v>4</v>
      </c>
      <c r="D282" t="s">
        <v>21</v>
      </c>
      <c r="E282" t="s">
        <v>22</v>
      </c>
      <c r="F282">
        <v>1</v>
      </c>
      <c r="G282">
        <v>72</v>
      </c>
      <c r="H282" s="1">
        <v>6.3026840277777774E-2</v>
      </c>
      <c r="I282">
        <v>26</v>
      </c>
      <c r="J282" t="s">
        <v>14</v>
      </c>
      <c r="K282" s="1">
        <v>8.5436342592592606E-4</v>
      </c>
      <c r="L282">
        <f t="shared" si="4"/>
        <v>15</v>
      </c>
    </row>
    <row r="283" spans="1:12" x14ac:dyDescent="0.3">
      <c r="A283" t="s">
        <v>64</v>
      </c>
      <c r="B283">
        <v>2</v>
      </c>
      <c r="C283">
        <v>1</v>
      </c>
      <c r="D283" t="s">
        <v>12</v>
      </c>
      <c r="E283" t="s">
        <v>13</v>
      </c>
      <c r="F283">
        <v>2</v>
      </c>
      <c r="G283">
        <v>72</v>
      </c>
      <c r="H283">
        <v>22.896000000000001</v>
      </c>
      <c r="I283">
        <v>18</v>
      </c>
      <c r="J283" t="s">
        <v>2</v>
      </c>
      <c r="K283" s="1">
        <v>8.6518518518518509E-4</v>
      </c>
      <c r="L283">
        <f t="shared" si="4"/>
        <v>15</v>
      </c>
    </row>
    <row r="284" spans="1:12" x14ac:dyDescent="0.3">
      <c r="A284" t="s">
        <v>64</v>
      </c>
      <c r="B284">
        <v>3</v>
      </c>
      <c r="C284">
        <v>16</v>
      </c>
      <c r="D284" t="s">
        <v>18</v>
      </c>
      <c r="E284" t="s">
        <v>17</v>
      </c>
      <c r="F284">
        <v>6</v>
      </c>
      <c r="G284">
        <v>72</v>
      </c>
      <c r="H284">
        <v>25.439</v>
      </c>
      <c r="I284">
        <v>15</v>
      </c>
      <c r="J284" t="s">
        <v>2</v>
      </c>
      <c r="K284" s="1">
        <v>8.6325231481481496E-4</v>
      </c>
      <c r="L284">
        <f t="shared" si="4"/>
        <v>15</v>
      </c>
    </row>
    <row r="285" spans="1:12" x14ac:dyDescent="0.3">
      <c r="A285" t="s">
        <v>64</v>
      </c>
      <c r="B285">
        <v>4</v>
      </c>
      <c r="C285">
        <v>81</v>
      </c>
      <c r="D285" t="s">
        <v>24</v>
      </c>
      <c r="E285" t="s">
        <v>22</v>
      </c>
      <c r="F285">
        <v>3</v>
      </c>
      <c r="G285">
        <v>72</v>
      </c>
      <c r="H285">
        <v>27.337</v>
      </c>
      <c r="I285">
        <v>12</v>
      </c>
      <c r="J285" t="s">
        <v>2</v>
      </c>
      <c r="K285" s="1">
        <v>8.5922453703703692E-4</v>
      </c>
      <c r="L285">
        <f t="shared" si="4"/>
        <v>15</v>
      </c>
    </row>
    <row r="286" spans="1:12" x14ac:dyDescent="0.3">
      <c r="A286" t="s">
        <v>64</v>
      </c>
      <c r="B286">
        <v>5</v>
      </c>
      <c r="C286">
        <v>55</v>
      </c>
      <c r="D286" t="s">
        <v>16</v>
      </c>
      <c r="E286" t="s">
        <v>17</v>
      </c>
      <c r="F286">
        <v>10</v>
      </c>
      <c r="G286">
        <v>72</v>
      </c>
      <c r="H286">
        <v>32.137</v>
      </c>
      <c r="I286">
        <v>10</v>
      </c>
      <c r="J286" t="s">
        <v>2</v>
      </c>
      <c r="K286" s="1">
        <v>8.5783564814814815E-4</v>
      </c>
      <c r="L286">
        <f t="shared" si="4"/>
        <v>15</v>
      </c>
    </row>
    <row r="287" spans="1:12" x14ac:dyDescent="0.3">
      <c r="A287" t="s">
        <v>64</v>
      </c>
      <c r="B287">
        <v>6</v>
      </c>
      <c r="C287">
        <v>11</v>
      </c>
      <c r="D287" t="s">
        <v>15</v>
      </c>
      <c r="E287" t="s">
        <v>13</v>
      </c>
      <c r="F287">
        <v>5</v>
      </c>
      <c r="G287">
        <v>72</v>
      </c>
      <c r="H287">
        <v>39.542000000000002</v>
      </c>
      <c r="I287">
        <v>8</v>
      </c>
      <c r="J287" t="s">
        <v>2</v>
      </c>
      <c r="K287" s="1">
        <v>8.6327546296296304E-4</v>
      </c>
      <c r="L287">
        <f t="shared" si="4"/>
        <v>15</v>
      </c>
    </row>
    <row r="288" spans="1:12" x14ac:dyDescent="0.3">
      <c r="A288" t="s">
        <v>64</v>
      </c>
      <c r="B288">
        <v>7</v>
      </c>
      <c r="C288">
        <v>63</v>
      </c>
      <c r="D288" t="s">
        <v>19</v>
      </c>
      <c r="E288" t="s">
        <v>20</v>
      </c>
      <c r="F288">
        <v>4</v>
      </c>
      <c r="G288">
        <v>72</v>
      </c>
      <c r="H288">
        <v>44.616999999999997</v>
      </c>
      <c r="I288">
        <v>6</v>
      </c>
      <c r="J288" t="s">
        <v>2</v>
      </c>
      <c r="K288" s="1">
        <v>8.5563657407407398E-4</v>
      </c>
      <c r="L288">
        <f t="shared" si="4"/>
        <v>15</v>
      </c>
    </row>
    <row r="289" spans="1:12" x14ac:dyDescent="0.3">
      <c r="A289" t="s">
        <v>64</v>
      </c>
      <c r="B289">
        <v>8</v>
      </c>
      <c r="C289">
        <v>44</v>
      </c>
      <c r="D289" t="s">
        <v>23</v>
      </c>
      <c r="E289" t="s">
        <v>20</v>
      </c>
      <c r="F289">
        <v>14</v>
      </c>
      <c r="G289">
        <v>72</v>
      </c>
      <c r="H289">
        <v>49.598999999999997</v>
      </c>
      <c r="I289">
        <v>4</v>
      </c>
      <c r="J289" t="s">
        <v>2</v>
      </c>
      <c r="K289" s="1">
        <v>8.5506944444444443E-4</v>
      </c>
      <c r="L289">
        <f t="shared" si="4"/>
        <v>15</v>
      </c>
    </row>
    <row r="290" spans="1:12" x14ac:dyDescent="0.3">
      <c r="A290" t="s">
        <v>64</v>
      </c>
      <c r="B290">
        <v>9</v>
      </c>
      <c r="C290">
        <v>10</v>
      </c>
      <c r="D290" t="s">
        <v>41</v>
      </c>
      <c r="E290" t="s">
        <v>40</v>
      </c>
      <c r="F290">
        <v>9</v>
      </c>
      <c r="G290">
        <v>71</v>
      </c>
      <c r="H290" t="s">
        <v>30</v>
      </c>
      <c r="I290">
        <v>2</v>
      </c>
      <c r="J290" t="s">
        <v>2</v>
      </c>
      <c r="K290" s="1">
        <v>8.6637731481481483E-4</v>
      </c>
      <c r="L290">
        <f t="shared" si="4"/>
        <v>15</v>
      </c>
    </row>
    <row r="291" spans="1:12" x14ac:dyDescent="0.3">
      <c r="A291" t="s">
        <v>64</v>
      </c>
      <c r="B291">
        <v>10</v>
      </c>
      <c r="C291">
        <v>14</v>
      </c>
      <c r="D291" t="s">
        <v>25</v>
      </c>
      <c r="E291" t="s">
        <v>26</v>
      </c>
      <c r="F291">
        <v>7</v>
      </c>
      <c r="G291">
        <v>71</v>
      </c>
      <c r="H291" t="s">
        <v>30</v>
      </c>
      <c r="I291">
        <v>1</v>
      </c>
      <c r="J291" t="s">
        <v>2</v>
      </c>
      <c r="K291" s="1">
        <v>8.6525462962962956E-4</v>
      </c>
      <c r="L291">
        <f t="shared" si="4"/>
        <v>15</v>
      </c>
    </row>
    <row r="292" spans="1:12" x14ac:dyDescent="0.3">
      <c r="A292" t="s">
        <v>64</v>
      </c>
      <c r="B292">
        <v>11</v>
      </c>
      <c r="C292">
        <v>27</v>
      </c>
      <c r="D292" t="s">
        <v>38</v>
      </c>
      <c r="E292" t="s">
        <v>32</v>
      </c>
      <c r="F292">
        <v>12</v>
      </c>
      <c r="G292">
        <v>71</v>
      </c>
      <c r="H292" t="s">
        <v>30</v>
      </c>
      <c r="I292">
        <v>0</v>
      </c>
      <c r="J292" t="s">
        <v>2</v>
      </c>
      <c r="K292" s="1">
        <v>8.7565972222222223E-4</v>
      </c>
      <c r="L292">
        <f t="shared" si="4"/>
        <v>15</v>
      </c>
    </row>
    <row r="293" spans="1:12" x14ac:dyDescent="0.3">
      <c r="A293" t="s">
        <v>64</v>
      </c>
      <c r="B293">
        <v>12</v>
      </c>
      <c r="C293">
        <v>3</v>
      </c>
      <c r="D293" t="s">
        <v>33</v>
      </c>
      <c r="E293" t="s">
        <v>34</v>
      </c>
      <c r="F293">
        <v>13</v>
      </c>
      <c r="G293">
        <v>71</v>
      </c>
      <c r="H293" t="s">
        <v>30</v>
      </c>
      <c r="I293">
        <v>0</v>
      </c>
      <c r="J293" t="s">
        <v>2</v>
      </c>
      <c r="K293" s="1">
        <v>8.7062499999999998E-4</v>
      </c>
      <c r="L293">
        <f t="shared" si="4"/>
        <v>15</v>
      </c>
    </row>
    <row r="294" spans="1:12" x14ac:dyDescent="0.3">
      <c r="A294" t="s">
        <v>64</v>
      </c>
      <c r="B294">
        <v>13</v>
      </c>
      <c r="C294">
        <v>18</v>
      </c>
      <c r="D294" t="s">
        <v>27</v>
      </c>
      <c r="E294" t="s">
        <v>26</v>
      </c>
      <c r="F294">
        <v>8</v>
      </c>
      <c r="G294">
        <v>71</v>
      </c>
      <c r="H294" t="s">
        <v>30</v>
      </c>
      <c r="I294">
        <v>0</v>
      </c>
      <c r="J294" t="s">
        <v>2</v>
      </c>
      <c r="K294" s="1">
        <v>8.7100694444444443E-4</v>
      </c>
      <c r="L294">
        <f t="shared" si="4"/>
        <v>15</v>
      </c>
    </row>
    <row r="295" spans="1:12" x14ac:dyDescent="0.3">
      <c r="A295" t="s">
        <v>64</v>
      </c>
      <c r="B295">
        <v>14</v>
      </c>
      <c r="C295">
        <v>23</v>
      </c>
      <c r="D295" t="s">
        <v>36</v>
      </c>
      <c r="E295" t="s">
        <v>37</v>
      </c>
      <c r="F295">
        <v>19</v>
      </c>
      <c r="G295">
        <v>71</v>
      </c>
      <c r="H295" t="s">
        <v>30</v>
      </c>
      <c r="I295">
        <v>0</v>
      </c>
      <c r="J295" t="s">
        <v>2</v>
      </c>
      <c r="K295" s="1">
        <v>8.615046296296296E-4</v>
      </c>
      <c r="L295">
        <f t="shared" si="4"/>
        <v>15</v>
      </c>
    </row>
    <row r="296" spans="1:12" x14ac:dyDescent="0.3">
      <c r="A296" t="s">
        <v>64</v>
      </c>
      <c r="B296">
        <v>15</v>
      </c>
      <c r="C296">
        <v>31</v>
      </c>
      <c r="D296" t="s">
        <v>39</v>
      </c>
      <c r="E296" t="s">
        <v>40</v>
      </c>
      <c r="F296">
        <v>15</v>
      </c>
      <c r="G296">
        <v>71</v>
      </c>
      <c r="H296" t="s">
        <v>30</v>
      </c>
      <c r="I296">
        <v>0</v>
      </c>
      <c r="J296" t="s">
        <v>2</v>
      </c>
      <c r="K296" s="1">
        <v>8.7256944444444448E-4</v>
      </c>
      <c r="L296">
        <f t="shared" si="4"/>
        <v>15</v>
      </c>
    </row>
    <row r="297" spans="1:12" x14ac:dyDescent="0.3">
      <c r="A297" t="s">
        <v>64</v>
      </c>
      <c r="B297">
        <v>16</v>
      </c>
      <c r="C297">
        <v>2</v>
      </c>
      <c r="D297" t="s">
        <v>43</v>
      </c>
      <c r="E297" t="s">
        <v>37</v>
      </c>
      <c r="F297">
        <v>18</v>
      </c>
      <c r="G297">
        <v>71</v>
      </c>
      <c r="H297" t="s">
        <v>30</v>
      </c>
      <c r="I297">
        <v>0</v>
      </c>
      <c r="J297" t="s">
        <v>2</v>
      </c>
      <c r="K297" s="1">
        <v>8.7429398148148154E-4</v>
      </c>
      <c r="L297">
        <f t="shared" si="4"/>
        <v>15</v>
      </c>
    </row>
    <row r="298" spans="1:12" x14ac:dyDescent="0.3">
      <c r="A298" t="s">
        <v>64</v>
      </c>
      <c r="B298">
        <v>17</v>
      </c>
      <c r="C298">
        <v>22</v>
      </c>
      <c r="D298" t="s">
        <v>35</v>
      </c>
      <c r="E298" t="s">
        <v>34</v>
      </c>
      <c r="F298">
        <v>11</v>
      </c>
      <c r="G298">
        <v>71</v>
      </c>
      <c r="H298" t="s">
        <v>30</v>
      </c>
      <c r="I298">
        <v>0</v>
      </c>
      <c r="J298" t="s">
        <v>2</v>
      </c>
      <c r="K298" s="1">
        <v>8.744444444444444E-4</v>
      </c>
      <c r="L298">
        <f t="shared" si="4"/>
        <v>15</v>
      </c>
    </row>
    <row r="299" spans="1:12" x14ac:dyDescent="0.3">
      <c r="A299" t="s">
        <v>64</v>
      </c>
      <c r="B299">
        <v>18</v>
      </c>
      <c r="C299">
        <v>20</v>
      </c>
      <c r="D299" t="s">
        <v>31</v>
      </c>
      <c r="E299" t="s">
        <v>32</v>
      </c>
      <c r="F299">
        <v>20</v>
      </c>
      <c r="G299">
        <v>71</v>
      </c>
      <c r="H299" t="s">
        <v>30</v>
      </c>
      <c r="I299">
        <v>0</v>
      </c>
      <c r="J299" t="s">
        <v>2</v>
      </c>
      <c r="K299" s="1">
        <v>8.6752314814814819E-4</v>
      </c>
      <c r="L299">
        <f t="shared" si="4"/>
        <v>15</v>
      </c>
    </row>
    <row r="300" spans="1:12" x14ac:dyDescent="0.3">
      <c r="A300" t="s">
        <v>64</v>
      </c>
      <c r="B300">
        <v>19</v>
      </c>
      <c r="C300">
        <v>77</v>
      </c>
      <c r="D300" t="s">
        <v>42</v>
      </c>
      <c r="E300" t="s">
        <v>29</v>
      </c>
      <c r="F300">
        <v>16</v>
      </c>
      <c r="G300">
        <v>70</v>
      </c>
      <c r="H300" t="s">
        <v>44</v>
      </c>
      <c r="I300">
        <v>0</v>
      </c>
      <c r="J300" t="s">
        <v>2</v>
      </c>
      <c r="K300" s="1">
        <v>8.7756944444444449E-4</v>
      </c>
      <c r="L300">
        <f t="shared" si="4"/>
        <v>15</v>
      </c>
    </row>
    <row r="301" spans="1:12" x14ac:dyDescent="0.3">
      <c r="A301" t="s">
        <v>64</v>
      </c>
      <c r="B301">
        <v>20</v>
      </c>
      <c r="C301">
        <v>24</v>
      </c>
      <c r="D301" t="s">
        <v>28</v>
      </c>
      <c r="E301" t="s">
        <v>29</v>
      </c>
      <c r="F301">
        <v>17</v>
      </c>
      <c r="G301">
        <v>70</v>
      </c>
      <c r="H301" t="s">
        <v>44</v>
      </c>
      <c r="I301">
        <v>0</v>
      </c>
      <c r="J301" t="s">
        <v>2</v>
      </c>
      <c r="K301" s="1">
        <v>8.7643518518518528E-4</v>
      </c>
      <c r="L301">
        <f t="shared" si="4"/>
        <v>15</v>
      </c>
    </row>
    <row r="302" spans="1:12" x14ac:dyDescent="0.3">
      <c r="A302" t="s">
        <v>65</v>
      </c>
      <c r="B302">
        <v>1</v>
      </c>
      <c r="C302">
        <v>16</v>
      </c>
      <c r="D302" t="s">
        <v>18</v>
      </c>
      <c r="E302" t="s">
        <v>17</v>
      </c>
      <c r="F302">
        <v>4</v>
      </c>
      <c r="G302">
        <v>53</v>
      </c>
      <c r="H302" s="1">
        <v>5.1860266203703702E-2</v>
      </c>
      <c r="I302">
        <v>25</v>
      </c>
      <c r="J302" t="s">
        <v>2</v>
      </c>
      <c r="K302" s="1">
        <v>9.6326388888888883E-4</v>
      </c>
      <c r="L302">
        <f t="shared" si="4"/>
        <v>16</v>
      </c>
    </row>
    <row r="303" spans="1:12" x14ac:dyDescent="0.3">
      <c r="A303" t="s">
        <v>65</v>
      </c>
      <c r="B303">
        <v>2</v>
      </c>
      <c r="C303">
        <v>81</v>
      </c>
      <c r="D303" t="s">
        <v>24</v>
      </c>
      <c r="E303" t="s">
        <v>22</v>
      </c>
      <c r="F303">
        <v>2</v>
      </c>
      <c r="G303">
        <v>53</v>
      </c>
      <c r="H303">
        <v>2.6640000000000001</v>
      </c>
      <c r="I303">
        <v>18</v>
      </c>
      <c r="J303" t="s">
        <v>2</v>
      </c>
      <c r="K303" s="1">
        <v>9.4841435185185187E-4</v>
      </c>
      <c r="L303">
        <f t="shared" si="4"/>
        <v>16</v>
      </c>
    </row>
    <row r="304" spans="1:12" x14ac:dyDescent="0.3">
      <c r="A304" t="s">
        <v>65</v>
      </c>
      <c r="B304">
        <v>3</v>
      </c>
      <c r="C304">
        <v>4</v>
      </c>
      <c r="D304" t="s">
        <v>21</v>
      </c>
      <c r="E304" t="s">
        <v>22</v>
      </c>
      <c r="F304">
        <v>1</v>
      </c>
      <c r="G304">
        <v>53</v>
      </c>
      <c r="H304">
        <v>6.1529999999999996</v>
      </c>
      <c r="I304">
        <v>16</v>
      </c>
      <c r="J304" t="s">
        <v>14</v>
      </c>
      <c r="K304" s="1">
        <v>9.4249999999999998E-4</v>
      </c>
      <c r="L304">
        <f t="shared" si="4"/>
        <v>16</v>
      </c>
    </row>
    <row r="305" spans="1:12" x14ac:dyDescent="0.3">
      <c r="A305" t="s">
        <v>65</v>
      </c>
      <c r="B305">
        <v>4</v>
      </c>
      <c r="C305">
        <v>55</v>
      </c>
      <c r="D305" t="s">
        <v>16</v>
      </c>
      <c r="E305" t="s">
        <v>17</v>
      </c>
      <c r="F305">
        <v>5</v>
      </c>
      <c r="G305">
        <v>53</v>
      </c>
      <c r="H305">
        <v>15.621</v>
      </c>
      <c r="I305">
        <v>12</v>
      </c>
      <c r="J305" t="s">
        <v>2</v>
      </c>
      <c r="K305" s="1">
        <v>9.6318287037037032E-4</v>
      </c>
      <c r="L305">
        <f t="shared" si="4"/>
        <v>16</v>
      </c>
    </row>
    <row r="306" spans="1:12" x14ac:dyDescent="0.3">
      <c r="A306" t="s">
        <v>65</v>
      </c>
      <c r="B306">
        <v>5</v>
      </c>
      <c r="C306">
        <v>44</v>
      </c>
      <c r="D306" t="s">
        <v>23</v>
      </c>
      <c r="E306" t="s">
        <v>20</v>
      </c>
      <c r="F306">
        <v>6</v>
      </c>
      <c r="G306">
        <v>53</v>
      </c>
      <c r="H306">
        <v>22.82</v>
      </c>
      <c r="I306">
        <v>10</v>
      </c>
      <c r="J306" t="s">
        <v>2</v>
      </c>
      <c r="K306" s="1">
        <v>9.434259259259259E-4</v>
      </c>
      <c r="L306">
        <f t="shared" si="4"/>
        <v>16</v>
      </c>
    </row>
    <row r="307" spans="1:12" x14ac:dyDescent="0.3">
      <c r="A307" t="s">
        <v>65</v>
      </c>
      <c r="B307">
        <v>6</v>
      </c>
      <c r="C307">
        <v>1</v>
      </c>
      <c r="D307" t="s">
        <v>12</v>
      </c>
      <c r="E307" t="s">
        <v>13</v>
      </c>
      <c r="F307">
        <v>7</v>
      </c>
      <c r="G307">
        <v>53</v>
      </c>
      <c r="H307">
        <v>37.932000000000002</v>
      </c>
      <c r="I307">
        <v>8</v>
      </c>
      <c r="J307" t="s">
        <v>2</v>
      </c>
      <c r="K307" s="1">
        <v>9.4612268518518526E-4</v>
      </c>
      <c r="L307">
        <f t="shared" si="4"/>
        <v>16</v>
      </c>
    </row>
    <row r="308" spans="1:12" x14ac:dyDescent="0.3">
      <c r="A308" t="s">
        <v>65</v>
      </c>
      <c r="B308">
        <v>7</v>
      </c>
      <c r="C308">
        <v>63</v>
      </c>
      <c r="D308" t="s">
        <v>19</v>
      </c>
      <c r="E308" t="s">
        <v>20</v>
      </c>
      <c r="F308">
        <v>3</v>
      </c>
      <c r="G308">
        <v>53</v>
      </c>
      <c r="H308">
        <v>39.715000000000003</v>
      </c>
      <c r="I308">
        <v>6</v>
      </c>
      <c r="J308" t="s">
        <v>2</v>
      </c>
      <c r="K308" s="1">
        <v>9.4949074074074076E-4</v>
      </c>
      <c r="L308">
        <f t="shared" si="4"/>
        <v>16</v>
      </c>
    </row>
    <row r="309" spans="1:12" x14ac:dyDescent="0.3">
      <c r="A309" t="s">
        <v>65</v>
      </c>
      <c r="B309">
        <v>8</v>
      </c>
      <c r="C309">
        <v>11</v>
      </c>
      <c r="D309" t="s">
        <v>15</v>
      </c>
      <c r="E309" t="s">
        <v>13</v>
      </c>
      <c r="F309">
        <v>8</v>
      </c>
      <c r="G309">
        <v>53</v>
      </c>
      <c r="H309">
        <v>54.148000000000003</v>
      </c>
      <c r="I309">
        <v>4</v>
      </c>
      <c r="J309" t="s">
        <v>2</v>
      </c>
      <c r="K309" s="1">
        <v>9.6031250000000001E-4</v>
      </c>
      <c r="L309">
        <f t="shared" si="4"/>
        <v>16</v>
      </c>
    </row>
    <row r="310" spans="1:12" x14ac:dyDescent="0.3">
      <c r="A310" t="s">
        <v>65</v>
      </c>
      <c r="B310">
        <v>9</v>
      </c>
      <c r="C310">
        <v>23</v>
      </c>
      <c r="D310" t="s">
        <v>36</v>
      </c>
      <c r="E310" t="s">
        <v>37</v>
      </c>
      <c r="F310">
        <v>9</v>
      </c>
      <c r="G310">
        <v>53</v>
      </c>
      <c r="H310">
        <v>67.456000000000003</v>
      </c>
      <c r="I310">
        <v>2</v>
      </c>
      <c r="J310" t="s">
        <v>2</v>
      </c>
      <c r="K310" s="1">
        <v>9.7127314814814819E-4</v>
      </c>
      <c r="L310">
        <f t="shared" si="4"/>
        <v>16</v>
      </c>
    </row>
    <row r="311" spans="1:12" x14ac:dyDescent="0.3">
      <c r="A311" t="s">
        <v>65</v>
      </c>
      <c r="B311">
        <v>10</v>
      </c>
      <c r="C311">
        <v>20</v>
      </c>
      <c r="D311" t="s">
        <v>31</v>
      </c>
      <c r="E311" t="s">
        <v>32</v>
      </c>
      <c r="F311">
        <v>13</v>
      </c>
      <c r="G311">
        <v>53</v>
      </c>
      <c r="H311">
        <v>68.302000000000007</v>
      </c>
      <c r="I311">
        <v>1</v>
      </c>
      <c r="J311" t="s">
        <v>2</v>
      </c>
      <c r="K311" s="1">
        <v>9.6570601851851852E-4</v>
      </c>
      <c r="L311">
        <f t="shared" si="4"/>
        <v>16</v>
      </c>
    </row>
    <row r="312" spans="1:12" x14ac:dyDescent="0.3">
      <c r="A312" t="s">
        <v>65</v>
      </c>
      <c r="B312">
        <v>11</v>
      </c>
      <c r="C312">
        <v>14</v>
      </c>
      <c r="D312" t="s">
        <v>25</v>
      </c>
      <c r="E312" t="s">
        <v>26</v>
      </c>
      <c r="F312">
        <v>11</v>
      </c>
      <c r="G312">
        <v>53</v>
      </c>
      <c r="H312">
        <v>68.495000000000005</v>
      </c>
      <c r="I312">
        <v>0</v>
      </c>
      <c r="J312" t="s">
        <v>2</v>
      </c>
      <c r="K312" s="1">
        <v>9.6000000000000002E-4</v>
      </c>
      <c r="L312">
        <f t="shared" si="4"/>
        <v>16</v>
      </c>
    </row>
    <row r="313" spans="1:12" x14ac:dyDescent="0.3">
      <c r="A313" t="s">
        <v>65</v>
      </c>
      <c r="B313">
        <v>12</v>
      </c>
      <c r="C313">
        <v>43</v>
      </c>
      <c r="D313" t="s">
        <v>66</v>
      </c>
      <c r="E313" t="s">
        <v>37</v>
      </c>
      <c r="F313">
        <v>18</v>
      </c>
      <c r="G313">
        <v>53</v>
      </c>
      <c r="H313">
        <v>81.308000000000007</v>
      </c>
      <c r="I313">
        <v>0</v>
      </c>
      <c r="J313" t="s">
        <v>2</v>
      </c>
      <c r="K313" s="1">
        <v>9.6907407407407413E-4</v>
      </c>
      <c r="L313">
        <f t="shared" si="4"/>
        <v>16</v>
      </c>
    </row>
    <row r="314" spans="1:12" x14ac:dyDescent="0.3">
      <c r="A314" t="s">
        <v>65</v>
      </c>
      <c r="B314">
        <v>13</v>
      </c>
      <c r="C314">
        <v>3</v>
      </c>
      <c r="D314" t="s">
        <v>33</v>
      </c>
      <c r="E314" t="s">
        <v>34</v>
      </c>
      <c r="F314">
        <v>12</v>
      </c>
      <c r="G314">
        <v>53</v>
      </c>
      <c r="H314">
        <v>93.451999999999998</v>
      </c>
      <c r="I314">
        <v>0</v>
      </c>
      <c r="J314" t="s">
        <v>2</v>
      </c>
      <c r="K314" s="1">
        <v>9.7475694444444433E-4</v>
      </c>
      <c r="L314">
        <f t="shared" si="4"/>
        <v>16</v>
      </c>
    </row>
    <row r="315" spans="1:12" x14ac:dyDescent="0.3">
      <c r="A315" t="s">
        <v>65</v>
      </c>
      <c r="B315">
        <v>14</v>
      </c>
      <c r="C315">
        <v>31</v>
      </c>
      <c r="D315" t="s">
        <v>39</v>
      </c>
      <c r="E315" t="s">
        <v>40</v>
      </c>
      <c r="F315">
        <v>15</v>
      </c>
      <c r="G315">
        <v>52</v>
      </c>
      <c r="H315" t="s">
        <v>30</v>
      </c>
      <c r="I315">
        <v>0</v>
      </c>
      <c r="J315" t="s">
        <v>2</v>
      </c>
      <c r="K315" s="1">
        <v>9.761921296296297E-4</v>
      </c>
      <c r="L315">
        <f t="shared" si="4"/>
        <v>16</v>
      </c>
    </row>
    <row r="316" spans="1:12" x14ac:dyDescent="0.3">
      <c r="A316" t="s">
        <v>65</v>
      </c>
      <c r="B316">
        <v>15</v>
      </c>
      <c r="C316">
        <v>10</v>
      </c>
      <c r="D316" t="s">
        <v>41</v>
      </c>
      <c r="E316" t="s">
        <v>40</v>
      </c>
      <c r="F316">
        <v>14</v>
      </c>
      <c r="G316">
        <v>52</v>
      </c>
      <c r="H316" t="s">
        <v>30</v>
      </c>
      <c r="I316">
        <v>0</v>
      </c>
      <c r="J316" t="s">
        <v>2</v>
      </c>
      <c r="K316" s="1">
        <v>9.6938657407407401E-4</v>
      </c>
      <c r="L316">
        <f t="shared" si="4"/>
        <v>16</v>
      </c>
    </row>
    <row r="317" spans="1:12" x14ac:dyDescent="0.3">
      <c r="A317" t="s">
        <v>65</v>
      </c>
      <c r="B317">
        <v>16</v>
      </c>
      <c r="C317">
        <v>77</v>
      </c>
      <c r="D317" t="s">
        <v>42</v>
      </c>
      <c r="E317" t="s">
        <v>29</v>
      </c>
      <c r="F317">
        <v>19</v>
      </c>
      <c r="G317">
        <v>52</v>
      </c>
      <c r="H317" t="s">
        <v>30</v>
      </c>
      <c r="I317">
        <v>0</v>
      </c>
      <c r="J317" t="s">
        <v>2</v>
      </c>
      <c r="K317" s="1">
        <v>9.676967592592594E-4</v>
      </c>
      <c r="L317">
        <f t="shared" si="4"/>
        <v>16</v>
      </c>
    </row>
    <row r="318" spans="1:12" x14ac:dyDescent="0.3">
      <c r="A318" t="s">
        <v>65</v>
      </c>
      <c r="B318">
        <v>17</v>
      </c>
      <c r="C318">
        <v>27</v>
      </c>
      <c r="D318" t="s">
        <v>38</v>
      </c>
      <c r="E318" t="s">
        <v>32</v>
      </c>
      <c r="F318">
        <v>10</v>
      </c>
      <c r="G318">
        <v>52</v>
      </c>
      <c r="H318" t="s">
        <v>30</v>
      </c>
      <c r="I318">
        <v>0</v>
      </c>
      <c r="J318" t="s">
        <v>2</v>
      </c>
      <c r="K318" s="1">
        <v>9.638310185185186E-4</v>
      </c>
      <c r="L318">
        <f t="shared" si="4"/>
        <v>16</v>
      </c>
    </row>
    <row r="319" spans="1:12" x14ac:dyDescent="0.3">
      <c r="A319" t="s">
        <v>65</v>
      </c>
      <c r="B319">
        <v>18</v>
      </c>
      <c r="C319">
        <v>24</v>
      </c>
      <c r="D319" t="s">
        <v>28</v>
      </c>
      <c r="E319" t="s">
        <v>29</v>
      </c>
      <c r="F319">
        <v>20</v>
      </c>
      <c r="G319">
        <v>52</v>
      </c>
      <c r="H319" t="s">
        <v>30</v>
      </c>
      <c r="I319">
        <v>0</v>
      </c>
      <c r="J319" t="s">
        <v>2</v>
      </c>
      <c r="K319" s="1">
        <v>9.8486111111111105E-4</v>
      </c>
      <c r="L319">
        <f t="shared" si="4"/>
        <v>16</v>
      </c>
    </row>
    <row r="320" spans="1:12" x14ac:dyDescent="0.3">
      <c r="A320" t="s">
        <v>65</v>
      </c>
      <c r="B320">
        <v>19</v>
      </c>
      <c r="C320">
        <v>18</v>
      </c>
      <c r="D320" t="s">
        <v>27</v>
      </c>
      <c r="E320" t="s">
        <v>26</v>
      </c>
      <c r="F320">
        <v>17</v>
      </c>
      <c r="G320">
        <v>52</v>
      </c>
      <c r="H320" t="s">
        <v>30</v>
      </c>
      <c r="I320">
        <v>0</v>
      </c>
      <c r="J320" t="s">
        <v>2</v>
      </c>
      <c r="K320" s="1">
        <v>9.5175925925925929E-4</v>
      </c>
      <c r="L320">
        <f t="shared" si="4"/>
        <v>16</v>
      </c>
    </row>
    <row r="321" spans="1:12" x14ac:dyDescent="0.3">
      <c r="A321" t="s">
        <v>65</v>
      </c>
      <c r="B321" t="s">
        <v>47</v>
      </c>
      <c r="C321">
        <v>22</v>
      </c>
      <c r="D321" t="s">
        <v>35</v>
      </c>
      <c r="E321" t="s">
        <v>34</v>
      </c>
      <c r="F321">
        <v>16</v>
      </c>
      <c r="G321">
        <v>7</v>
      </c>
      <c r="H321" t="s">
        <v>48</v>
      </c>
      <c r="I321">
        <v>0</v>
      </c>
      <c r="J321" t="s">
        <v>2</v>
      </c>
      <c r="K321" s="1">
        <v>9.9766203703703714E-4</v>
      </c>
      <c r="L321">
        <f t="shared" si="4"/>
        <v>16</v>
      </c>
    </row>
    <row r="322" spans="1:12" x14ac:dyDescent="0.3">
      <c r="A322" t="s">
        <v>67</v>
      </c>
      <c r="B322">
        <v>1</v>
      </c>
      <c r="C322">
        <v>81</v>
      </c>
      <c r="D322" t="s">
        <v>24</v>
      </c>
      <c r="E322" t="s">
        <v>22</v>
      </c>
      <c r="F322">
        <v>2</v>
      </c>
      <c r="G322">
        <v>51</v>
      </c>
      <c r="H322" s="1">
        <v>6.4560266203703698E-2</v>
      </c>
      <c r="I322">
        <v>25</v>
      </c>
      <c r="J322" t="s">
        <v>2</v>
      </c>
      <c r="K322" s="1">
        <v>1.2391203703703705E-3</v>
      </c>
      <c r="L322">
        <f t="shared" si="4"/>
        <v>17</v>
      </c>
    </row>
    <row r="323" spans="1:12" x14ac:dyDescent="0.3">
      <c r="A323" t="s">
        <v>67</v>
      </c>
      <c r="B323">
        <v>2</v>
      </c>
      <c r="C323">
        <v>16</v>
      </c>
      <c r="D323" t="s">
        <v>18</v>
      </c>
      <c r="E323" t="s">
        <v>17</v>
      </c>
      <c r="F323">
        <v>1</v>
      </c>
      <c r="G323">
        <v>51</v>
      </c>
      <c r="H323">
        <v>10.91</v>
      </c>
      <c r="I323">
        <v>18</v>
      </c>
      <c r="J323" t="s">
        <v>2</v>
      </c>
      <c r="K323" s="1">
        <v>1.2392013888888891E-3</v>
      </c>
      <c r="L323">
        <f t="shared" si="4"/>
        <v>17</v>
      </c>
    </row>
    <row r="324" spans="1:12" x14ac:dyDescent="0.3">
      <c r="A324" t="s">
        <v>67</v>
      </c>
      <c r="B324">
        <v>3</v>
      </c>
      <c r="C324">
        <v>63</v>
      </c>
      <c r="D324" t="s">
        <v>19</v>
      </c>
      <c r="E324" t="s">
        <v>20</v>
      </c>
      <c r="F324">
        <v>5</v>
      </c>
      <c r="G324">
        <v>51</v>
      </c>
      <c r="H324">
        <v>31.327999999999999</v>
      </c>
      <c r="I324">
        <v>15</v>
      </c>
      <c r="J324" t="s">
        <v>2</v>
      </c>
      <c r="K324" s="1">
        <v>1.2341203703703704E-3</v>
      </c>
      <c r="L324">
        <f t="shared" si="4"/>
        <v>17</v>
      </c>
    </row>
    <row r="325" spans="1:12" x14ac:dyDescent="0.3">
      <c r="A325" t="s">
        <v>67</v>
      </c>
      <c r="B325">
        <v>4</v>
      </c>
      <c r="C325">
        <v>4</v>
      </c>
      <c r="D325" t="s">
        <v>21</v>
      </c>
      <c r="E325" t="s">
        <v>22</v>
      </c>
      <c r="F325">
        <v>15</v>
      </c>
      <c r="G325">
        <v>51</v>
      </c>
      <c r="H325">
        <v>36.142000000000003</v>
      </c>
      <c r="I325">
        <v>13</v>
      </c>
      <c r="J325" t="s">
        <v>14</v>
      </c>
      <c r="K325" s="1">
        <v>1.2182291666666667E-3</v>
      </c>
      <c r="L325">
        <f t="shared" si="4"/>
        <v>17</v>
      </c>
    </row>
    <row r="326" spans="1:12" x14ac:dyDescent="0.3">
      <c r="A326" t="s">
        <v>67</v>
      </c>
      <c r="B326">
        <v>5</v>
      </c>
      <c r="C326">
        <v>1</v>
      </c>
      <c r="D326" t="s">
        <v>12</v>
      </c>
      <c r="E326" t="s">
        <v>13</v>
      </c>
      <c r="F326">
        <v>6</v>
      </c>
      <c r="G326">
        <v>51</v>
      </c>
      <c r="H326">
        <v>77.097999999999999</v>
      </c>
      <c r="I326">
        <v>10</v>
      </c>
      <c r="J326" t="s">
        <v>2</v>
      </c>
      <c r="K326" s="1">
        <v>1.2360879629629629E-3</v>
      </c>
      <c r="L326">
        <f t="shared" si="4"/>
        <v>17</v>
      </c>
    </row>
    <row r="327" spans="1:12" x14ac:dyDescent="0.3">
      <c r="A327" t="s">
        <v>67</v>
      </c>
      <c r="B327">
        <v>6</v>
      </c>
      <c r="C327">
        <v>14</v>
      </c>
      <c r="D327" t="s">
        <v>25</v>
      </c>
      <c r="E327" t="s">
        <v>26</v>
      </c>
      <c r="F327">
        <v>7</v>
      </c>
      <c r="G327">
        <v>51</v>
      </c>
      <c r="H327">
        <v>85.468000000000004</v>
      </c>
      <c r="I327">
        <v>8</v>
      </c>
      <c r="J327" t="s">
        <v>2</v>
      </c>
      <c r="K327" s="1">
        <v>1.2390856481481482E-3</v>
      </c>
      <c r="L327">
        <f t="shared" si="4"/>
        <v>17</v>
      </c>
    </row>
    <row r="328" spans="1:12" x14ac:dyDescent="0.3">
      <c r="A328" t="s">
        <v>67</v>
      </c>
      <c r="B328">
        <v>7</v>
      </c>
      <c r="C328">
        <v>23</v>
      </c>
      <c r="D328" t="s">
        <v>36</v>
      </c>
      <c r="E328" t="s">
        <v>37</v>
      </c>
      <c r="F328">
        <v>9</v>
      </c>
      <c r="G328">
        <v>51</v>
      </c>
      <c r="H328">
        <v>87.396000000000001</v>
      </c>
      <c r="I328">
        <v>6</v>
      </c>
      <c r="J328" t="s">
        <v>2</v>
      </c>
      <c r="K328" s="1">
        <v>1.2378125E-3</v>
      </c>
      <c r="L328">
        <f t="shared" si="4"/>
        <v>17</v>
      </c>
    </row>
    <row r="329" spans="1:12" x14ac:dyDescent="0.3">
      <c r="A329" t="s">
        <v>67</v>
      </c>
      <c r="B329">
        <v>8</v>
      </c>
      <c r="C329">
        <v>43</v>
      </c>
      <c r="D329" t="s">
        <v>66</v>
      </c>
      <c r="E329" t="s">
        <v>37</v>
      </c>
      <c r="F329">
        <v>8</v>
      </c>
      <c r="G329">
        <v>51</v>
      </c>
      <c r="H329">
        <v>89.540999999999997</v>
      </c>
      <c r="I329">
        <v>4</v>
      </c>
      <c r="J329" t="s">
        <v>2</v>
      </c>
      <c r="K329" s="1">
        <v>1.2415972222222223E-3</v>
      </c>
      <c r="L329">
        <f t="shared" si="4"/>
        <v>17</v>
      </c>
    </row>
    <row r="330" spans="1:12" x14ac:dyDescent="0.3">
      <c r="A330" t="s">
        <v>67</v>
      </c>
      <c r="B330">
        <v>9</v>
      </c>
      <c r="C330">
        <v>44</v>
      </c>
      <c r="D330" t="s">
        <v>23</v>
      </c>
      <c r="E330" t="s">
        <v>20</v>
      </c>
      <c r="F330">
        <v>19</v>
      </c>
      <c r="G330">
        <v>51</v>
      </c>
      <c r="H330">
        <v>92.400999999999996</v>
      </c>
      <c r="I330">
        <v>2</v>
      </c>
      <c r="J330" t="s">
        <v>2</v>
      </c>
      <c r="K330" s="1">
        <v>1.2411574074074072E-3</v>
      </c>
      <c r="L330">
        <f t="shared" si="4"/>
        <v>17</v>
      </c>
    </row>
    <row r="331" spans="1:12" x14ac:dyDescent="0.3">
      <c r="A331" t="s">
        <v>67</v>
      </c>
      <c r="B331">
        <v>10</v>
      </c>
      <c r="C331">
        <v>50</v>
      </c>
      <c r="D331" t="s">
        <v>46</v>
      </c>
      <c r="E331" t="s">
        <v>32</v>
      </c>
      <c r="F331">
        <v>10</v>
      </c>
      <c r="G331">
        <v>51</v>
      </c>
      <c r="H331">
        <v>93.126999999999995</v>
      </c>
      <c r="I331">
        <v>1</v>
      </c>
      <c r="J331" t="s">
        <v>2</v>
      </c>
      <c r="K331" s="1">
        <v>1.2389814814814815E-3</v>
      </c>
      <c r="L331">
        <f t="shared" si="4"/>
        <v>17</v>
      </c>
    </row>
    <row r="332" spans="1:12" x14ac:dyDescent="0.3">
      <c r="A332" t="s">
        <v>67</v>
      </c>
      <c r="B332">
        <v>11</v>
      </c>
      <c r="C332">
        <v>27</v>
      </c>
      <c r="D332" t="s">
        <v>38</v>
      </c>
      <c r="E332" t="s">
        <v>32</v>
      </c>
      <c r="F332">
        <v>12</v>
      </c>
      <c r="G332">
        <v>51</v>
      </c>
      <c r="H332">
        <v>93.465000000000003</v>
      </c>
      <c r="I332">
        <v>0</v>
      </c>
      <c r="J332" t="s">
        <v>2</v>
      </c>
      <c r="K332" s="1">
        <v>1.2464236111111111E-3</v>
      </c>
      <c r="L332">
        <f t="shared" si="4"/>
        <v>17</v>
      </c>
    </row>
    <row r="333" spans="1:12" x14ac:dyDescent="0.3">
      <c r="A333" t="s">
        <v>67</v>
      </c>
      <c r="B333">
        <v>12</v>
      </c>
      <c r="C333">
        <v>10</v>
      </c>
      <c r="D333" t="s">
        <v>41</v>
      </c>
      <c r="E333" t="s">
        <v>40</v>
      </c>
      <c r="F333">
        <v>18</v>
      </c>
      <c r="G333">
        <v>51</v>
      </c>
      <c r="H333">
        <v>117.18899999999999</v>
      </c>
      <c r="I333">
        <v>0</v>
      </c>
      <c r="J333" t="s">
        <v>2</v>
      </c>
      <c r="K333" s="1">
        <v>1.2502083333333334E-3</v>
      </c>
      <c r="L333">
        <f t="shared" si="4"/>
        <v>17</v>
      </c>
    </row>
    <row r="334" spans="1:12" x14ac:dyDescent="0.3">
      <c r="A334" t="s">
        <v>67</v>
      </c>
      <c r="B334">
        <v>13</v>
      </c>
      <c r="C334">
        <v>3</v>
      </c>
      <c r="D334" t="s">
        <v>33</v>
      </c>
      <c r="E334" t="s">
        <v>34</v>
      </c>
      <c r="F334">
        <v>14</v>
      </c>
      <c r="G334">
        <v>51</v>
      </c>
      <c r="H334">
        <v>146.90700000000001</v>
      </c>
      <c r="I334">
        <v>0</v>
      </c>
      <c r="J334" t="s">
        <v>2</v>
      </c>
      <c r="K334" s="1">
        <v>1.2543981481481481E-3</v>
      </c>
      <c r="L334">
        <f t="shared" si="4"/>
        <v>17</v>
      </c>
    </row>
    <row r="335" spans="1:12" x14ac:dyDescent="0.3">
      <c r="A335" t="s">
        <v>67</v>
      </c>
      <c r="B335">
        <v>14</v>
      </c>
      <c r="C335">
        <v>24</v>
      </c>
      <c r="D335" t="s">
        <v>28</v>
      </c>
      <c r="E335" t="s">
        <v>29</v>
      </c>
      <c r="F335">
        <v>17</v>
      </c>
      <c r="G335">
        <v>51</v>
      </c>
      <c r="H335">
        <v>148.84100000000001</v>
      </c>
      <c r="I335">
        <v>0</v>
      </c>
      <c r="J335" t="s">
        <v>2</v>
      </c>
      <c r="K335" s="1">
        <v>1.2458796296296298E-3</v>
      </c>
      <c r="L335">
        <f t="shared" si="4"/>
        <v>17</v>
      </c>
    </row>
    <row r="336" spans="1:12" x14ac:dyDescent="0.3">
      <c r="A336" t="s">
        <v>67</v>
      </c>
      <c r="B336">
        <v>15</v>
      </c>
      <c r="C336">
        <v>31</v>
      </c>
      <c r="D336" t="s">
        <v>39</v>
      </c>
      <c r="E336" t="s">
        <v>40</v>
      </c>
      <c r="F336">
        <v>20</v>
      </c>
      <c r="G336">
        <v>50</v>
      </c>
      <c r="H336" t="s">
        <v>30</v>
      </c>
      <c r="I336">
        <v>0</v>
      </c>
      <c r="J336" t="s">
        <v>2</v>
      </c>
      <c r="K336" s="1">
        <v>1.2596180555555555E-3</v>
      </c>
      <c r="L336">
        <f t="shared" si="4"/>
        <v>17</v>
      </c>
    </row>
    <row r="337" spans="1:12" x14ac:dyDescent="0.3">
      <c r="A337" t="s">
        <v>67</v>
      </c>
      <c r="B337">
        <v>16</v>
      </c>
      <c r="C337">
        <v>77</v>
      </c>
      <c r="D337" t="s">
        <v>42</v>
      </c>
      <c r="E337" t="s">
        <v>29</v>
      </c>
      <c r="F337">
        <v>16</v>
      </c>
      <c r="G337">
        <v>50</v>
      </c>
      <c r="H337" t="s">
        <v>30</v>
      </c>
      <c r="I337">
        <v>0</v>
      </c>
      <c r="J337" t="s">
        <v>2</v>
      </c>
      <c r="K337" s="1">
        <v>1.254837962962963E-3</v>
      </c>
      <c r="L337">
        <f t="shared" si="4"/>
        <v>17</v>
      </c>
    </row>
    <row r="338" spans="1:12" x14ac:dyDescent="0.3">
      <c r="A338" t="s">
        <v>67</v>
      </c>
      <c r="B338">
        <v>17</v>
      </c>
      <c r="C338">
        <v>11</v>
      </c>
      <c r="D338" t="s">
        <v>15</v>
      </c>
      <c r="E338" t="s">
        <v>13</v>
      </c>
      <c r="F338">
        <v>4</v>
      </c>
      <c r="G338">
        <v>49</v>
      </c>
      <c r="H338" t="s">
        <v>48</v>
      </c>
      <c r="I338">
        <v>0</v>
      </c>
      <c r="J338" t="s">
        <v>2</v>
      </c>
      <c r="K338" s="1">
        <v>1.2385763888888889E-3</v>
      </c>
      <c r="L338">
        <f t="shared" si="4"/>
        <v>17</v>
      </c>
    </row>
    <row r="339" spans="1:12" x14ac:dyDescent="0.3">
      <c r="A339" t="s">
        <v>67</v>
      </c>
      <c r="B339">
        <v>18</v>
      </c>
      <c r="C339">
        <v>55</v>
      </c>
      <c r="D339" t="s">
        <v>16</v>
      </c>
      <c r="E339" t="s">
        <v>17</v>
      </c>
      <c r="F339">
        <v>3</v>
      </c>
      <c r="G339">
        <v>49</v>
      </c>
      <c r="H339" t="s">
        <v>48</v>
      </c>
      <c r="I339">
        <v>0</v>
      </c>
      <c r="J339" t="s">
        <v>2</v>
      </c>
      <c r="K339" s="1">
        <v>1.2368749999999999E-3</v>
      </c>
      <c r="L339">
        <f t="shared" si="4"/>
        <v>17</v>
      </c>
    </row>
    <row r="340" spans="1:12" x14ac:dyDescent="0.3">
      <c r="A340" t="s">
        <v>67</v>
      </c>
      <c r="B340">
        <v>19</v>
      </c>
      <c r="C340">
        <v>18</v>
      </c>
      <c r="D340" t="s">
        <v>27</v>
      </c>
      <c r="E340" t="s">
        <v>26</v>
      </c>
      <c r="F340">
        <v>13</v>
      </c>
      <c r="G340">
        <v>45</v>
      </c>
      <c r="H340" t="s">
        <v>48</v>
      </c>
      <c r="I340">
        <v>0</v>
      </c>
      <c r="J340" t="s">
        <v>2</v>
      </c>
      <c r="K340" s="1">
        <v>1.2517129629629629E-3</v>
      </c>
      <c r="L340">
        <f t="shared" si="4"/>
        <v>17</v>
      </c>
    </row>
    <row r="341" spans="1:12" x14ac:dyDescent="0.3">
      <c r="A341" t="s">
        <v>67</v>
      </c>
      <c r="B341" t="s">
        <v>47</v>
      </c>
      <c r="C341">
        <v>22</v>
      </c>
      <c r="D341" t="s">
        <v>35</v>
      </c>
      <c r="E341" t="s">
        <v>34</v>
      </c>
      <c r="F341">
        <v>11</v>
      </c>
      <c r="G341">
        <v>14</v>
      </c>
      <c r="H341" t="s">
        <v>48</v>
      </c>
      <c r="I341">
        <v>0</v>
      </c>
      <c r="J341" t="s">
        <v>2</v>
      </c>
      <c r="K341" s="1">
        <v>1.2834143518518518E-3</v>
      </c>
      <c r="L341">
        <f t="shared" si="4"/>
        <v>17</v>
      </c>
    </row>
    <row r="342" spans="1:12" x14ac:dyDescent="0.3">
      <c r="A342" t="s">
        <v>68</v>
      </c>
      <c r="B342">
        <v>1</v>
      </c>
      <c r="C342">
        <v>4</v>
      </c>
      <c r="D342" t="s">
        <v>21</v>
      </c>
      <c r="E342" t="s">
        <v>22</v>
      </c>
      <c r="F342">
        <v>1</v>
      </c>
      <c r="G342">
        <v>62</v>
      </c>
      <c r="H342" s="1">
        <v>7.0052905092592585E-2</v>
      </c>
      <c r="I342">
        <v>25</v>
      </c>
      <c r="J342" t="s">
        <v>2</v>
      </c>
      <c r="K342" s="1">
        <v>1.0986689814814815E-3</v>
      </c>
      <c r="L342">
        <f t="shared" si="4"/>
        <v>18</v>
      </c>
    </row>
    <row r="343" spans="1:12" x14ac:dyDescent="0.3">
      <c r="A343" t="s">
        <v>68</v>
      </c>
      <c r="B343">
        <v>2</v>
      </c>
      <c r="C343">
        <v>1</v>
      </c>
      <c r="D343" t="s">
        <v>12</v>
      </c>
      <c r="E343" t="s">
        <v>13</v>
      </c>
      <c r="F343">
        <v>2</v>
      </c>
      <c r="G343">
        <v>62</v>
      </c>
      <c r="H343">
        <v>20.945</v>
      </c>
      <c r="I343">
        <v>18</v>
      </c>
      <c r="J343" t="s">
        <v>2</v>
      </c>
      <c r="K343" s="1">
        <v>1.1107291666666665E-3</v>
      </c>
      <c r="L343">
        <f t="shared" ref="L343:L406" si="5">L323+1</f>
        <v>18</v>
      </c>
    </row>
    <row r="344" spans="1:12" x14ac:dyDescent="0.3">
      <c r="A344" t="s">
        <v>68</v>
      </c>
      <c r="B344">
        <v>3</v>
      </c>
      <c r="C344">
        <v>81</v>
      </c>
      <c r="D344" t="s">
        <v>24</v>
      </c>
      <c r="E344" t="s">
        <v>22</v>
      </c>
      <c r="F344">
        <v>5</v>
      </c>
      <c r="G344">
        <v>62</v>
      </c>
      <c r="H344">
        <v>41.823</v>
      </c>
      <c r="I344">
        <v>15</v>
      </c>
      <c r="J344" t="s">
        <v>2</v>
      </c>
      <c r="K344" s="1">
        <v>1.1081597222222222E-3</v>
      </c>
      <c r="L344">
        <f t="shared" si="5"/>
        <v>18</v>
      </c>
    </row>
    <row r="345" spans="1:12" x14ac:dyDescent="0.3">
      <c r="A345" t="s">
        <v>68</v>
      </c>
      <c r="B345">
        <v>4</v>
      </c>
      <c r="C345">
        <v>63</v>
      </c>
      <c r="D345" t="s">
        <v>19</v>
      </c>
      <c r="E345" t="s">
        <v>20</v>
      </c>
      <c r="F345">
        <v>4</v>
      </c>
      <c r="G345">
        <v>62</v>
      </c>
      <c r="H345">
        <v>61.04</v>
      </c>
      <c r="I345">
        <v>12</v>
      </c>
      <c r="J345" t="s">
        <v>2</v>
      </c>
      <c r="K345" s="1">
        <v>1.1232291666666667E-3</v>
      </c>
      <c r="L345">
        <f t="shared" si="5"/>
        <v>18</v>
      </c>
    </row>
    <row r="346" spans="1:12" x14ac:dyDescent="0.3">
      <c r="A346" t="s">
        <v>68</v>
      </c>
      <c r="B346">
        <v>5</v>
      </c>
      <c r="C346">
        <v>16</v>
      </c>
      <c r="D346" t="s">
        <v>18</v>
      </c>
      <c r="E346" t="s">
        <v>17</v>
      </c>
      <c r="F346">
        <v>9</v>
      </c>
      <c r="G346">
        <v>62</v>
      </c>
      <c r="H346">
        <v>62.43</v>
      </c>
      <c r="I346">
        <v>10</v>
      </c>
      <c r="J346" t="s">
        <v>2</v>
      </c>
      <c r="K346" s="1">
        <v>1.1038310185185185E-3</v>
      </c>
      <c r="L346">
        <f t="shared" si="5"/>
        <v>18</v>
      </c>
    </row>
    <row r="347" spans="1:12" x14ac:dyDescent="0.3">
      <c r="A347" t="s">
        <v>68</v>
      </c>
      <c r="B347">
        <v>6</v>
      </c>
      <c r="C347">
        <v>44</v>
      </c>
      <c r="D347" t="s">
        <v>23</v>
      </c>
      <c r="E347" t="s">
        <v>20</v>
      </c>
      <c r="F347">
        <v>3</v>
      </c>
      <c r="G347">
        <v>62</v>
      </c>
      <c r="H347">
        <v>85.248000000000005</v>
      </c>
      <c r="I347">
        <v>8</v>
      </c>
      <c r="J347" t="s">
        <v>2</v>
      </c>
      <c r="K347" s="1">
        <v>1.1272337962962963E-3</v>
      </c>
      <c r="L347">
        <f t="shared" si="5"/>
        <v>18</v>
      </c>
    </row>
    <row r="348" spans="1:12" x14ac:dyDescent="0.3">
      <c r="A348" t="s">
        <v>68</v>
      </c>
      <c r="B348">
        <v>7</v>
      </c>
      <c r="C348">
        <v>55</v>
      </c>
      <c r="D348" t="s">
        <v>16</v>
      </c>
      <c r="E348" t="s">
        <v>17</v>
      </c>
      <c r="F348">
        <v>10</v>
      </c>
      <c r="G348">
        <v>62</v>
      </c>
      <c r="H348">
        <v>96.039000000000001</v>
      </c>
      <c r="I348">
        <v>6</v>
      </c>
      <c r="J348" t="s">
        <v>2</v>
      </c>
      <c r="K348" s="1">
        <v>1.1176041666666667E-3</v>
      </c>
      <c r="L348">
        <f t="shared" si="5"/>
        <v>18</v>
      </c>
    </row>
    <row r="349" spans="1:12" x14ac:dyDescent="0.3">
      <c r="A349" t="s">
        <v>68</v>
      </c>
      <c r="B349">
        <v>8</v>
      </c>
      <c r="C349">
        <v>14</v>
      </c>
      <c r="D349" t="s">
        <v>25</v>
      </c>
      <c r="E349" t="s">
        <v>26</v>
      </c>
      <c r="F349">
        <v>7</v>
      </c>
      <c r="G349">
        <v>61</v>
      </c>
      <c r="H349" t="s">
        <v>30</v>
      </c>
      <c r="I349">
        <v>4</v>
      </c>
      <c r="J349" t="s">
        <v>2</v>
      </c>
      <c r="K349" s="1">
        <v>1.131261574074074E-3</v>
      </c>
      <c r="L349">
        <f t="shared" si="5"/>
        <v>18</v>
      </c>
    </row>
    <row r="350" spans="1:12" x14ac:dyDescent="0.3">
      <c r="A350" t="s">
        <v>68</v>
      </c>
      <c r="B350">
        <v>9</v>
      </c>
      <c r="C350">
        <v>27</v>
      </c>
      <c r="D350" t="s">
        <v>38</v>
      </c>
      <c r="E350" t="s">
        <v>32</v>
      </c>
      <c r="F350">
        <v>6</v>
      </c>
      <c r="G350">
        <v>61</v>
      </c>
      <c r="H350" t="s">
        <v>30</v>
      </c>
      <c r="I350">
        <v>2</v>
      </c>
      <c r="J350" t="s">
        <v>2</v>
      </c>
      <c r="K350" s="1">
        <v>1.128125E-3</v>
      </c>
      <c r="L350">
        <f t="shared" si="5"/>
        <v>18</v>
      </c>
    </row>
    <row r="351" spans="1:12" x14ac:dyDescent="0.3">
      <c r="A351" t="s">
        <v>68</v>
      </c>
      <c r="B351">
        <v>10</v>
      </c>
      <c r="C351">
        <v>11</v>
      </c>
      <c r="D351" t="s">
        <v>15</v>
      </c>
      <c r="E351" t="s">
        <v>13</v>
      </c>
      <c r="F351">
        <v>13</v>
      </c>
      <c r="G351">
        <v>61</v>
      </c>
      <c r="H351" t="s">
        <v>30</v>
      </c>
      <c r="I351">
        <v>1</v>
      </c>
      <c r="J351" t="s">
        <v>2</v>
      </c>
      <c r="K351" s="1">
        <v>1.1282060185185186E-3</v>
      </c>
      <c r="L351">
        <f t="shared" si="5"/>
        <v>18</v>
      </c>
    </row>
    <row r="352" spans="1:12" x14ac:dyDescent="0.3">
      <c r="A352" t="s">
        <v>68</v>
      </c>
      <c r="B352">
        <v>11</v>
      </c>
      <c r="C352">
        <v>43</v>
      </c>
      <c r="D352" t="s">
        <v>66</v>
      </c>
      <c r="E352" t="s">
        <v>37</v>
      </c>
      <c r="F352">
        <v>12</v>
      </c>
      <c r="G352">
        <v>61</v>
      </c>
      <c r="H352" t="s">
        <v>30</v>
      </c>
      <c r="I352">
        <v>0</v>
      </c>
      <c r="J352" t="s">
        <v>2</v>
      </c>
      <c r="K352" s="1">
        <v>1.1257175925925927E-3</v>
      </c>
      <c r="L352">
        <f t="shared" si="5"/>
        <v>18</v>
      </c>
    </row>
    <row r="353" spans="1:12" x14ac:dyDescent="0.3">
      <c r="A353" t="s">
        <v>68</v>
      </c>
      <c r="B353">
        <v>12</v>
      </c>
      <c r="C353">
        <v>22</v>
      </c>
      <c r="D353" t="s">
        <v>35</v>
      </c>
      <c r="E353" t="s">
        <v>34</v>
      </c>
      <c r="F353">
        <v>8</v>
      </c>
      <c r="G353">
        <v>61</v>
      </c>
      <c r="H353" t="s">
        <v>30</v>
      </c>
      <c r="I353">
        <v>0</v>
      </c>
      <c r="J353" t="s">
        <v>2</v>
      </c>
      <c r="K353" s="1">
        <v>1.1156597222222223E-3</v>
      </c>
      <c r="L353">
        <f t="shared" si="5"/>
        <v>18</v>
      </c>
    </row>
    <row r="354" spans="1:12" x14ac:dyDescent="0.3">
      <c r="A354" t="s">
        <v>68</v>
      </c>
      <c r="B354">
        <v>13</v>
      </c>
      <c r="C354">
        <v>31</v>
      </c>
      <c r="D354" t="s">
        <v>39</v>
      </c>
      <c r="E354" t="s">
        <v>40</v>
      </c>
      <c r="F354">
        <v>15</v>
      </c>
      <c r="G354">
        <v>61</v>
      </c>
      <c r="H354" t="s">
        <v>30</v>
      </c>
      <c r="I354">
        <v>0</v>
      </c>
      <c r="J354" t="s">
        <v>2</v>
      </c>
      <c r="K354" s="1">
        <v>1.1338425925925925E-3</v>
      </c>
      <c r="L354">
        <f t="shared" si="5"/>
        <v>18</v>
      </c>
    </row>
    <row r="355" spans="1:12" x14ac:dyDescent="0.3">
      <c r="A355" t="s">
        <v>68</v>
      </c>
      <c r="B355">
        <v>14</v>
      </c>
      <c r="C355">
        <v>18</v>
      </c>
      <c r="D355" t="s">
        <v>27</v>
      </c>
      <c r="E355" t="s">
        <v>26</v>
      </c>
      <c r="F355">
        <v>17</v>
      </c>
      <c r="G355">
        <v>61</v>
      </c>
      <c r="H355" t="s">
        <v>30</v>
      </c>
      <c r="I355">
        <v>0</v>
      </c>
      <c r="J355" t="s">
        <v>2</v>
      </c>
      <c r="K355" s="1">
        <v>1.1325347222222223E-3</v>
      </c>
      <c r="L355">
        <f t="shared" si="5"/>
        <v>18</v>
      </c>
    </row>
    <row r="356" spans="1:12" x14ac:dyDescent="0.3">
      <c r="A356" t="s">
        <v>68</v>
      </c>
      <c r="B356">
        <v>15</v>
      </c>
      <c r="C356">
        <v>24</v>
      </c>
      <c r="D356" t="s">
        <v>28</v>
      </c>
      <c r="E356" t="s">
        <v>29</v>
      </c>
      <c r="F356">
        <v>20</v>
      </c>
      <c r="G356">
        <v>61</v>
      </c>
      <c r="H356" t="s">
        <v>30</v>
      </c>
      <c r="I356">
        <v>0</v>
      </c>
      <c r="J356" t="s">
        <v>2</v>
      </c>
      <c r="K356" s="1">
        <v>1.1280208333333333E-3</v>
      </c>
      <c r="L356">
        <f t="shared" si="5"/>
        <v>18</v>
      </c>
    </row>
    <row r="357" spans="1:12" x14ac:dyDescent="0.3">
      <c r="A357" t="s">
        <v>68</v>
      </c>
      <c r="B357">
        <v>16</v>
      </c>
      <c r="C357">
        <v>77</v>
      </c>
      <c r="D357" t="s">
        <v>42</v>
      </c>
      <c r="E357" t="s">
        <v>29</v>
      </c>
      <c r="F357">
        <v>19</v>
      </c>
      <c r="G357">
        <v>61</v>
      </c>
      <c r="H357" t="s">
        <v>30</v>
      </c>
      <c r="I357">
        <v>0</v>
      </c>
      <c r="J357" t="s">
        <v>2</v>
      </c>
      <c r="K357" s="1">
        <v>1.12875E-3</v>
      </c>
      <c r="L357">
        <f t="shared" si="5"/>
        <v>18</v>
      </c>
    </row>
    <row r="358" spans="1:12" x14ac:dyDescent="0.3">
      <c r="A358" t="s">
        <v>68</v>
      </c>
      <c r="B358">
        <v>17</v>
      </c>
      <c r="C358">
        <v>10</v>
      </c>
      <c r="D358" t="s">
        <v>41</v>
      </c>
      <c r="E358" t="s">
        <v>40</v>
      </c>
      <c r="F358">
        <v>18</v>
      </c>
      <c r="G358">
        <v>61</v>
      </c>
      <c r="H358" t="s">
        <v>30</v>
      </c>
      <c r="I358">
        <v>0</v>
      </c>
      <c r="J358" t="s">
        <v>2</v>
      </c>
      <c r="K358" s="1">
        <v>1.1218402777777776E-3</v>
      </c>
      <c r="L358">
        <f t="shared" si="5"/>
        <v>18</v>
      </c>
    </row>
    <row r="359" spans="1:12" x14ac:dyDescent="0.3">
      <c r="A359" t="s">
        <v>68</v>
      </c>
      <c r="B359">
        <v>18</v>
      </c>
      <c r="C359">
        <v>3</v>
      </c>
      <c r="D359" t="s">
        <v>33</v>
      </c>
      <c r="E359" t="s">
        <v>34</v>
      </c>
      <c r="F359">
        <v>16</v>
      </c>
      <c r="G359">
        <v>61</v>
      </c>
      <c r="H359" t="s">
        <v>30</v>
      </c>
      <c r="I359">
        <v>0</v>
      </c>
      <c r="J359" t="s">
        <v>14</v>
      </c>
      <c r="K359" s="1">
        <v>1.0935879629629629E-3</v>
      </c>
      <c r="L359">
        <f t="shared" si="5"/>
        <v>18</v>
      </c>
    </row>
    <row r="360" spans="1:12" x14ac:dyDescent="0.3">
      <c r="A360" t="s">
        <v>68</v>
      </c>
      <c r="B360">
        <v>19</v>
      </c>
      <c r="C360">
        <v>20</v>
      </c>
      <c r="D360" t="s">
        <v>31</v>
      </c>
      <c r="E360" t="s">
        <v>32</v>
      </c>
      <c r="F360">
        <v>14</v>
      </c>
      <c r="G360">
        <v>57</v>
      </c>
      <c r="H360" t="s">
        <v>48</v>
      </c>
      <c r="I360">
        <v>0</v>
      </c>
      <c r="J360" t="s">
        <v>2</v>
      </c>
      <c r="K360" s="1">
        <v>1.1276041666666667E-3</v>
      </c>
      <c r="L360">
        <f t="shared" si="5"/>
        <v>18</v>
      </c>
    </row>
    <row r="361" spans="1:12" x14ac:dyDescent="0.3">
      <c r="A361" t="s">
        <v>68</v>
      </c>
      <c r="B361" t="s">
        <v>47</v>
      </c>
      <c r="C361">
        <v>23</v>
      </c>
      <c r="D361" t="s">
        <v>36</v>
      </c>
      <c r="E361" t="s">
        <v>37</v>
      </c>
      <c r="F361">
        <v>11</v>
      </c>
      <c r="G361">
        <v>15</v>
      </c>
      <c r="H361" t="s">
        <v>48</v>
      </c>
      <c r="I361">
        <v>0</v>
      </c>
      <c r="J361" t="s">
        <v>2</v>
      </c>
      <c r="K361" s="1">
        <v>1.121388888888889E-3</v>
      </c>
      <c r="L361">
        <f t="shared" si="5"/>
        <v>18</v>
      </c>
    </row>
    <row r="362" spans="1:12" x14ac:dyDescent="0.3">
      <c r="A362" t="s">
        <v>69</v>
      </c>
      <c r="B362">
        <v>1</v>
      </c>
      <c r="C362">
        <v>16</v>
      </c>
      <c r="D362" t="s">
        <v>18</v>
      </c>
      <c r="E362" t="s">
        <v>17</v>
      </c>
      <c r="F362">
        <v>4</v>
      </c>
      <c r="G362">
        <v>56</v>
      </c>
      <c r="H362" s="1">
        <v>6.6083784722222219E-2</v>
      </c>
      <c r="I362">
        <v>25</v>
      </c>
      <c r="J362" t="s">
        <v>2</v>
      </c>
      <c r="K362" s="1">
        <v>1.132337962962963E-3</v>
      </c>
      <c r="L362">
        <f t="shared" si="5"/>
        <v>19</v>
      </c>
    </row>
    <row r="363" spans="1:12" x14ac:dyDescent="0.3">
      <c r="A363" t="s">
        <v>69</v>
      </c>
      <c r="B363">
        <v>2</v>
      </c>
      <c r="C363">
        <v>55</v>
      </c>
      <c r="D363" t="s">
        <v>16</v>
      </c>
      <c r="E363" t="s">
        <v>17</v>
      </c>
      <c r="F363">
        <v>3</v>
      </c>
      <c r="G363">
        <v>56</v>
      </c>
      <c r="H363">
        <v>8.5619999999999994</v>
      </c>
      <c r="I363">
        <v>18</v>
      </c>
      <c r="J363" t="s">
        <v>2</v>
      </c>
      <c r="K363" s="1">
        <v>1.1315162037037038E-3</v>
      </c>
      <c r="L363">
        <f t="shared" si="5"/>
        <v>19</v>
      </c>
    </row>
    <row r="364" spans="1:12" x14ac:dyDescent="0.3">
      <c r="A364" t="s">
        <v>69</v>
      </c>
      <c r="B364">
        <v>3</v>
      </c>
      <c r="C364">
        <v>1</v>
      </c>
      <c r="D364" t="s">
        <v>12</v>
      </c>
      <c r="E364" t="s">
        <v>13</v>
      </c>
      <c r="F364">
        <v>2</v>
      </c>
      <c r="G364">
        <v>56</v>
      </c>
      <c r="H364">
        <v>19.411999999999999</v>
      </c>
      <c r="I364">
        <v>15</v>
      </c>
      <c r="J364" t="s">
        <v>2</v>
      </c>
      <c r="K364" s="1">
        <v>1.1356134259259258E-3</v>
      </c>
      <c r="L364">
        <f t="shared" si="5"/>
        <v>19</v>
      </c>
    </row>
    <row r="365" spans="1:12" x14ac:dyDescent="0.3">
      <c r="A365" t="s">
        <v>69</v>
      </c>
      <c r="B365">
        <v>4</v>
      </c>
      <c r="C365">
        <v>4</v>
      </c>
      <c r="D365" t="s">
        <v>21</v>
      </c>
      <c r="E365" t="s">
        <v>22</v>
      </c>
      <c r="F365">
        <v>1</v>
      </c>
      <c r="G365">
        <v>56</v>
      </c>
      <c r="H365">
        <v>20.353999999999999</v>
      </c>
      <c r="I365">
        <v>12</v>
      </c>
      <c r="J365" t="s">
        <v>2</v>
      </c>
      <c r="K365" s="1">
        <v>1.1305439814814815E-3</v>
      </c>
      <c r="L365">
        <f t="shared" si="5"/>
        <v>19</v>
      </c>
    </row>
    <row r="366" spans="1:12" x14ac:dyDescent="0.3">
      <c r="A366" t="s">
        <v>69</v>
      </c>
      <c r="B366">
        <v>5</v>
      </c>
      <c r="C366">
        <v>81</v>
      </c>
      <c r="D366" t="s">
        <v>24</v>
      </c>
      <c r="E366" t="s">
        <v>22</v>
      </c>
      <c r="F366">
        <v>5</v>
      </c>
      <c r="G366">
        <v>56</v>
      </c>
      <c r="H366">
        <v>21.920999999999999</v>
      </c>
      <c r="I366">
        <v>10</v>
      </c>
      <c r="J366" t="s">
        <v>2</v>
      </c>
      <c r="K366" s="1">
        <v>1.1329050925925927E-3</v>
      </c>
      <c r="L366">
        <f t="shared" si="5"/>
        <v>19</v>
      </c>
    </row>
    <row r="367" spans="1:12" x14ac:dyDescent="0.3">
      <c r="A367" t="s">
        <v>69</v>
      </c>
      <c r="B367">
        <v>6</v>
      </c>
      <c r="C367">
        <v>63</v>
      </c>
      <c r="D367" t="s">
        <v>19</v>
      </c>
      <c r="E367" t="s">
        <v>20</v>
      </c>
      <c r="F367">
        <v>20</v>
      </c>
      <c r="G367">
        <v>56</v>
      </c>
      <c r="H367">
        <v>56.295000000000002</v>
      </c>
      <c r="I367">
        <v>8</v>
      </c>
      <c r="J367" t="s">
        <v>2</v>
      </c>
      <c r="K367" s="1">
        <v>1.1302777777777778E-3</v>
      </c>
      <c r="L367">
        <f t="shared" si="5"/>
        <v>19</v>
      </c>
    </row>
    <row r="368" spans="1:12" x14ac:dyDescent="0.3">
      <c r="A368" t="s">
        <v>69</v>
      </c>
      <c r="B368">
        <v>7</v>
      </c>
      <c r="C368">
        <v>11</v>
      </c>
      <c r="D368" t="s">
        <v>15</v>
      </c>
      <c r="E368" t="s">
        <v>13</v>
      </c>
      <c r="F368">
        <v>9</v>
      </c>
      <c r="G368">
        <v>56</v>
      </c>
      <c r="H368">
        <v>59.072000000000003</v>
      </c>
      <c r="I368">
        <v>6</v>
      </c>
      <c r="J368" t="s">
        <v>2</v>
      </c>
      <c r="K368" s="1">
        <v>1.1402083333333334E-3</v>
      </c>
      <c r="L368">
        <f t="shared" si="5"/>
        <v>19</v>
      </c>
    </row>
    <row r="369" spans="1:12" x14ac:dyDescent="0.3">
      <c r="A369" t="s">
        <v>69</v>
      </c>
      <c r="B369">
        <v>8</v>
      </c>
      <c r="C369">
        <v>27</v>
      </c>
      <c r="D369" t="s">
        <v>38</v>
      </c>
      <c r="E369" t="s">
        <v>32</v>
      </c>
      <c r="F369">
        <v>11</v>
      </c>
      <c r="G369">
        <v>56</v>
      </c>
      <c r="H369">
        <v>62.957000000000001</v>
      </c>
      <c r="I369">
        <v>4</v>
      </c>
      <c r="J369" t="s">
        <v>2</v>
      </c>
      <c r="K369" s="1">
        <v>1.1389351851851851E-3</v>
      </c>
      <c r="L369">
        <f t="shared" si="5"/>
        <v>19</v>
      </c>
    </row>
    <row r="370" spans="1:12" x14ac:dyDescent="0.3">
      <c r="A370" t="s">
        <v>69</v>
      </c>
      <c r="B370">
        <v>9</v>
      </c>
      <c r="C370">
        <v>30</v>
      </c>
      <c r="D370" t="s">
        <v>70</v>
      </c>
      <c r="E370" t="s">
        <v>34</v>
      </c>
      <c r="F370">
        <v>19</v>
      </c>
      <c r="G370">
        <v>56</v>
      </c>
      <c r="H370">
        <v>70.563000000000002</v>
      </c>
      <c r="I370">
        <v>2</v>
      </c>
      <c r="J370" t="s">
        <v>2</v>
      </c>
      <c r="K370" s="1">
        <v>1.1353125E-3</v>
      </c>
      <c r="L370">
        <f t="shared" si="5"/>
        <v>19</v>
      </c>
    </row>
    <row r="371" spans="1:12" x14ac:dyDescent="0.3">
      <c r="A371" t="s">
        <v>69</v>
      </c>
      <c r="B371">
        <v>10</v>
      </c>
      <c r="C371">
        <v>43</v>
      </c>
      <c r="D371" t="s">
        <v>66</v>
      </c>
      <c r="E371" t="s">
        <v>37</v>
      </c>
      <c r="F371">
        <v>15</v>
      </c>
      <c r="G371">
        <v>56</v>
      </c>
      <c r="H371">
        <v>71.978999999999999</v>
      </c>
      <c r="I371">
        <v>1</v>
      </c>
      <c r="J371" t="s">
        <v>2</v>
      </c>
      <c r="K371" s="1">
        <v>1.1297569444444443E-3</v>
      </c>
      <c r="L371">
        <f t="shared" si="5"/>
        <v>19</v>
      </c>
    </row>
    <row r="372" spans="1:12" x14ac:dyDescent="0.3">
      <c r="A372" t="s">
        <v>69</v>
      </c>
      <c r="B372">
        <v>11</v>
      </c>
      <c r="C372">
        <v>20</v>
      </c>
      <c r="D372" t="s">
        <v>31</v>
      </c>
      <c r="E372" t="s">
        <v>32</v>
      </c>
      <c r="F372">
        <v>8</v>
      </c>
      <c r="G372">
        <v>56</v>
      </c>
      <c r="H372">
        <v>79.781999999999996</v>
      </c>
      <c r="I372">
        <v>0</v>
      </c>
      <c r="J372" t="s">
        <v>2</v>
      </c>
      <c r="K372" s="1">
        <v>1.136689814814815E-3</v>
      </c>
      <c r="L372">
        <f t="shared" si="5"/>
        <v>19</v>
      </c>
    </row>
    <row r="373" spans="1:12" x14ac:dyDescent="0.3">
      <c r="A373" t="s">
        <v>69</v>
      </c>
      <c r="B373">
        <v>12</v>
      </c>
      <c r="C373">
        <v>10</v>
      </c>
      <c r="D373" t="s">
        <v>41</v>
      </c>
      <c r="E373" t="s">
        <v>40</v>
      </c>
      <c r="F373">
        <v>6</v>
      </c>
      <c r="G373">
        <v>56</v>
      </c>
      <c r="H373">
        <v>90.558000000000007</v>
      </c>
      <c r="I373">
        <v>0</v>
      </c>
      <c r="J373" t="s">
        <v>2</v>
      </c>
      <c r="K373" s="1">
        <v>1.1378587962962963E-3</v>
      </c>
      <c r="L373">
        <f t="shared" si="5"/>
        <v>19</v>
      </c>
    </row>
    <row r="374" spans="1:12" x14ac:dyDescent="0.3">
      <c r="A374" t="s">
        <v>69</v>
      </c>
      <c r="B374">
        <v>13</v>
      </c>
      <c r="C374">
        <v>14</v>
      </c>
      <c r="D374" t="s">
        <v>25</v>
      </c>
      <c r="E374" t="s">
        <v>26</v>
      </c>
      <c r="F374">
        <v>7</v>
      </c>
      <c r="G374">
        <v>55</v>
      </c>
      <c r="H374" t="s">
        <v>30</v>
      </c>
      <c r="I374">
        <v>0</v>
      </c>
      <c r="J374" t="s">
        <v>2</v>
      </c>
      <c r="K374" s="1">
        <v>1.1488541666666665E-3</v>
      </c>
      <c r="L374">
        <f t="shared" si="5"/>
        <v>19</v>
      </c>
    </row>
    <row r="375" spans="1:12" x14ac:dyDescent="0.3">
      <c r="A375" t="s">
        <v>69</v>
      </c>
      <c r="B375">
        <v>14</v>
      </c>
      <c r="C375">
        <v>22</v>
      </c>
      <c r="D375" t="s">
        <v>35</v>
      </c>
      <c r="E375" t="s">
        <v>34</v>
      </c>
      <c r="F375">
        <v>10</v>
      </c>
      <c r="G375">
        <v>55</v>
      </c>
      <c r="H375" t="s">
        <v>30</v>
      </c>
      <c r="I375">
        <v>0</v>
      </c>
      <c r="J375" t="s">
        <v>2</v>
      </c>
      <c r="K375" s="1">
        <v>1.1480671296296295E-3</v>
      </c>
      <c r="L375">
        <f t="shared" si="5"/>
        <v>19</v>
      </c>
    </row>
    <row r="376" spans="1:12" x14ac:dyDescent="0.3">
      <c r="A376" t="s">
        <v>69</v>
      </c>
      <c r="B376">
        <v>15</v>
      </c>
      <c r="C376">
        <v>18</v>
      </c>
      <c r="D376" t="s">
        <v>27</v>
      </c>
      <c r="E376" t="s">
        <v>26</v>
      </c>
      <c r="F376">
        <v>13</v>
      </c>
      <c r="G376">
        <v>55</v>
      </c>
      <c r="H376" t="s">
        <v>30</v>
      </c>
      <c r="I376">
        <v>0</v>
      </c>
      <c r="J376" t="s">
        <v>2</v>
      </c>
      <c r="K376" s="1">
        <v>1.1483101851851852E-3</v>
      </c>
      <c r="L376">
        <f t="shared" si="5"/>
        <v>19</v>
      </c>
    </row>
    <row r="377" spans="1:12" x14ac:dyDescent="0.3">
      <c r="A377" t="s">
        <v>69</v>
      </c>
      <c r="B377">
        <v>16</v>
      </c>
      <c r="C377">
        <v>23</v>
      </c>
      <c r="D377" t="s">
        <v>36</v>
      </c>
      <c r="E377" t="s">
        <v>37</v>
      </c>
      <c r="F377">
        <v>14</v>
      </c>
      <c r="G377">
        <v>55</v>
      </c>
      <c r="H377" t="s">
        <v>30</v>
      </c>
      <c r="I377">
        <v>0</v>
      </c>
      <c r="J377" t="s">
        <v>2</v>
      </c>
      <c r="K377" s="1">
        <v>1.1468055555555556E-3</v>
      </c>
      <c r="L377">
        <f t="shared" si="5"/>
        <v>19</v>
      </c>
    </row>
    <row r="378" spans="1:12" x14ac:dyDescent="0.3">
      <c r="A378" t="s">
        <v>69</v>
      </c>
      <c r="B378">
        <v>17</v>
      </c>
      <c r="C378">
        <v>77</v>
      </c>
      <c r="D378" t="s">
        <v>42</v>
      </c>
      <c r="E378" t="s">
        <v>29</v>
      </c>
      <c r="F378">
        <v>16</v>
      </c>
      <c r="G378">
        <v>55</v>
      </c>
      <c r="H378" t="s">
        <v>30</v>
      </c>
      <c r="I378">
        <v>0</v>
      </c>
      <c r="J378" t="s">
        <v>2</v>
      </c>
      <c r="K378" s="1">
        <v>1.1640624999999999E-3</v>
      </c>
      <c r="L378">
        <f t="shared" si="5"/>
        <v>19</v>
      </c>
    </row>
    <row r="379" spans="1:12" x14ac:dyDescent="0.3">
      <c r="A379" t="s">
        <v>69</v>
      </c>
      <c r="B379">
        <v>18</v>
      </c>
      <c r="C379">
        <v>31</v>
      </c>
      <c r="D379" t="s">
        <v>39</v>
      </c>
      <c r="E379" t="s">
        <v>40</v>
      </c>
      <c r="F379">
        <v>12</v>
      </c>
      <c r="G379">
        <v>55</v>
      </c>
      <c r="H379" t="s">
        <v>30</v>
      </c>
      <c r="I379">
        <v>0</v>
      </c>
      <c r="J379" t="s">
        <v>14</v>
      </c>
      <c r="K379" s="1">
        <v>1.1265046296296296E-3</v>
      </c>
      <c r="L379">
        <f t="shared" si="5"/>
        <v>19</v>
      </c>
    </row>
    <row r="380" spans="1:12" x14ac:dyDescent="0.3">
      <c r="A380" t="s">
        <v>69</v>
      </c>
      <c r="B380">
        <v>19</v>
      </c>
      <c r="C380">
        <v>24</v>
      </c>
      <c r="D380" t="s">
        <v>28</v>
      </c>
      <c r="E380" t="s">
        <v>29</v>
      </c>
      <c r="F380">
        <v>18</v>
      </c>
      <c r="G380">
        <v>55</v>
      </c>
      <c r="H380" t="s">
        <v>30</v>
      </c>
      <c r="I380">
        <v>0</v>
      </c>
      <c r="J380" t="s">
        <v>2</v>
      </c>
      <c r="K380" s="1">
        <v>1.1489814814814813E-3</v>
      </c>
      <c r="L380">
        <f t="shared" si="5"/>
        <v>19</v>
      </c>
    </row>
    <row r="381" spans="1:12" x14ac:dyDescent="0.3">
      <c r="A381" t="s">
        <v>69</v>
      </c>
      <c r="B381" t="s">
        <v>47</v>
      </c>
      <c r="C381">
        <v>44</v>
      </c>
      <c r="D381" t="s">
        <v>23</v>
      </c>
      <c r="E381" t="s">
        <v>20</v>
      </c>
      <c r="F381">
        <v>17</v>
      </c>
      <c r="G381">
        <v>1</v>
      </c>
      <c r="H381" t="s">
        <v>48</v>
      </c>
      <c r="I381">
        <v>0</v>
      </c>
      <c r="J381" t="s">
        <v>2</v>
      </c>
      <c r="L381">
        <f t="shared" si="5"/>
        <v>19</v>
      </c>
    </row>
    <row r="382" spans="1:12" x14ac:dyDescent="0.3">
      <c r="A382" t="s">
        <v>71</v>
      </c>
      <c r="B382">
        <v>1</v>
      </c>
      <c r="C382">
        <v>55</v>
      </c>
      <c r="D382" t="s">
        <v>16</v>
      </c>
      <c r="E382" t="s">
        <v>17</v>
      </c>
      <c r="F382">
        <v>1</v>
      </c>
      <c r="G382">
        <v>71</v>
      </c>
      <c r="H382" s="1">
        <v>7.0090277777777779E-2</v>
      </c>
      <c r="I382">
        <v>25</v>
      </c>
      <c r="J382" t="s">
        <v>2</v>
      </c>
      <c r="K382" s="1">
        <v>9.2751157407407409E-4</v>
      </c>
      <c r="L382">
        <f t="shared" si="5"/>
        <v>20</v>
      </c>
    </row>
    <row r="383" spans="1:12" x14ac:dyDescent="0.3">
      <c r="A383" t="s">
        <v>71</v>
      </c>
      <c r="B383">
        <v>2</v>
      </c>
      <c r="C383">
        <v>4</v>
      </c>
      <c r="D383" t="s">
        <v>21</v>
      </c>
      <c r="E383" t="s">
        <v>22</v>
      </c>
      <c r="F383">
        <v>3</v>
      </c>
      <c r="G383">
        <v>71</v>
      </c>
      <c r="H383">
        <v>4.7050000000000001</v>
      </c>
      <c r="I383">
        <v>18</v>
      </c>
      <c r="J383" t="s">
        <v>2</v>
      </c>
      <c r="K383" s="1">
        <v>9.2234953703703706E-4</v>
      </c>
      <c r="L383">
        <f t="shared" si="5"/>
        <v>20</v>
      </c>
    </row>
    <row r="384" spans="1:12" x14ac:dyDescent="0.3">
      <c r="A384" t="s">
        <v>71</v>
      </c>
      <c r="B384">
        <v>3</v>
      </c>
      <c r="C384">
        <v>16</v>
      </c>
      <c r="D384" t="s">
        <v>18</v>
      </c>
      <c r="E384" t="s">
        <v>17</v>
      </c>
      <c r="F384">
        <v>4</v>
      </c>
      <c r="G384">
        <v>71</v>
      </c>
      <c r="H384">
        <v>34.387</v>
      </c>
      <c r="I384">
        <v>16</v>
      </c>
      <c r="J384" t="s">
        <v>14</v>
      </c>
      <c r="K384" s="1">
        <v>9.0666666666666662E-4</v>
      </c>
      <c r="L384">
        <f t="shared" si="5"/>
        <v>20</v>
      </c>
    </row>
    <row r="385" spans="1:12" x14ac:dyDescent="0.3">
      <c r="A385" t="s">
        <v>71</v>
      </c>
      <c r="B385">
        <v>4</v>
      </c>
      <c r="C385">
        <v>44</v>
      </c>
      <c r="D385" t="s">
        <v>23</v>
      </c>
      <c r="E385" t="s">
        <v>20</v>
      </c>
      <c r="F385">
        <v>6</v>
      </c>
      <c r="G385">
        <v>71</v>
      </c>
      <c r="H385">
        <v>44.78</v>
      </c>
      <c r="I385">
        <v>12</v>
      </c>
      <c r="J385" t="s">
        <v>2</v>
      </c>
      <c r="K385" s="1">
        <v>9.3021990740740738E-4</v>
      </c>
      <c r="L385">
        <f t="shared" si="5"/>
        <v>20</v>
      </c>
    </row>
    <row r="386" spans="1:12" x14ac:dyDescent="0.3">
      <c r="A386" t="s">
        <v>71</v>
      </c>
      <c r="B386">
        <v>5</v>
      </c>
      <c r="C386">
        <v>63</v>
      </c>
      <c r="D386" t="s">
        <v>19</v>
      </c>
      <c r="E386" t="s">
        <v>20</v>
      </c>
      <c r="F386">
        <v>5</v>
      </c>
      <c r="G386">
        <v>71</v>
      </c>
      <c r="H386">
        <v>48.536000000000001</v>
      </c>
      <c r="I386">
        <v>10</v>
      </c>
      <c r="J386" t="s">
        <v>2</v>
      </c>
      <c r="K386" s="1">
        <v>9.3438657407407403E-4</v>
      </c>
      <c r="L386">
        <f t="shared" si="5"/>
        <v>20</v>
      </c>
    </row>
    <row r="387" spans="1:12" x14ac:dyDescent="0.3">
      <c r="A387" t="s">
        <v>71</v>
      </c>
      <c r="B387">
        <v>6</v>
      </c>
      <c r="C387">
        <v>1</v>
      </c>
      <c r="D387" t="s">
        <v>12</v>
      </c>
      <c r="E387" t="s">
        <v>13</v>
      </c>
      <c r="F387">
        <v>2</v>
      </c>
      <c r="G387">
        <v>71</v>
      </c>
      <c r="H387">
        <v>59.558</v>
      </c>
      <c r="I387">
        <v>8</v>
      </c>
      <c r="J387" t="s">
        <v>2</v>
      </c>
      <c r="K387" s="1">
        <v>9.3601851851851854E-4</v>
      </c>
      <c r="L387">
        <f t="shared" si="5"/>
        <v>20</v>
      </c>
    </row>
    <row r="388" spans="1:12" x14ac:dyDescent="0.3">
      <c r="A388" t="s">
        <v>71</v>
      </c>
      <c r="B388">
        <v>7</v>
      </c>
      <c r="C388">
        <v>20</v>
      </c>
      <c r="D388" t="s">
        <v>31</v>
      </c>
      <c r="E388" t="s">
        <v>32</v>
      </c>
      <c r="F388">
        <v>7</v>
      </c>
      <c r="G388">
        <v>71</v>
      </c>
      <c r="H388">
        <v>63.642000000000003</v>
      </c>
      <c r="I388">
        <v>6</v>
      </c>
      <c r="J388" t="s">
        <v>2</v>
      </c>
      <c r="K388" s="1">
        <v>9.3329861111111109E-4</v>
      </c>
      <c r="L388">
        <f t="shared" si="5"/>
        <v>20</v>
      </c>
    </row>
    <row r="389" spans="1:12" x14ac:dyDescent="0.3">
      <c r="A389" t="s">
        <v>71</v>
      </c>
      <c r="B389">
        <v>8</v>
      </c>
      <c r="C389">
        <v>81</v>
      </c>
      <c r="D389" t="s">
        <v>24</v>
      </c>
      <c r="E389" t="s">
        <v>22</v>
      </c>
      <c r="F389">
        <v>17</v>
      </c>
      <c r="G389">
        <v>71</v>
      </c>
      <c r="H389">
        <v>64.927999999999997</v>
      </c>
      <c r="I389">
        <v>4</v>
      </c>
      <c r="J389" t="s">
        <v>2</v>
      </c>
      <c r="K389" s="1">
        <v>9.2666666666666657E-4</v>
      </c>
      <c r="L389">
        <f t="shared" si="5"/>
        <v>20</v>
      </c>
    </row>
    <row r="390" spans="1:12" x14ac:dyDescent="0.3">
      <c r="A390" t="s">
        <v>71</v>
      </c>
      <c r="B390">
        <v>9</v>
      </c>
      <c r="C390">
        <v>27</v>
      </c>
      <c r="D390" t="s">
        <v>38</v>
      </c>
      <c r="E390" t="s">
        <v>32</v>
      </c>
      <c r="F390">
        <v>10</v>
      </c>
      <c r="G390">
        <v>70</v>
      </c>
      <c r="H390" t="s">
        <v>30</v>
      </c>
      <c r="I390">
        <v>2</v>
      </c>
      <c r="J390" t="s">
        <v>2</v>
      </c>
      <c r="K390" s="1">
        <v>9.3458333333333338E-4</v>
      </c>
      <c r="L390">
        <f t="shared" si="5"/>
        <v>20</v>
      </c>
    </row>
    <row r="391" spans="1:12" x14ac:dyDescent="0.3">
      <c r="A391" t="s">
        <v>71</v>
      </c>
      <c r="B391">
        <v>10</v>
      </c>
      <c r="C391">
        <v>10</v>
      </c>
      <c r="D391" t="s">
        <v>41</v>
      </c>
      <c r="E391" t="s">
        <v>40</v>
      </c>
      <c r="F391">
        <v>8</v>
      </c>
      <c r="G391">
        <v>70</v>
      </c>
      <c r="H391" t="s">
        <v>30</v>
      </c>
      <c r="I391">
        <v>1</v>
      </c>
      <c r="J391" t="s">
        <v>2</v>
      </c>
      <c r="K391" s="1">
        <v>9.4067129629629633E-4</v>
      </c>
      <c r="L391">
        <f t="shared" si="5"/>
        <v>20</v>
      </c>
    </row>
    <row r="392" spans="1:12" x14ac:dyDescent="0.3">
      <c r="A392" t="s">
        <v>71</v>
      </c>
      <c r="B392">
        <v>11</v>
      </c>
      <c r="C392">
        <v>18</v>
      </c>
      <c r="D392" t="s">
        <v>27</v>
      </c>
      <c r="E392" t="s">
        <v>26</v>
      </c>
      <c r="F392">
        <v>14</v>
      </c>
      <c r="G392">
        <v>70</v>
      </c>
      <c r="H392" t="s">
        <v>30</v>
      </c>
      <c r="I392">
        <v>0</v>
      </c>
      <c r="J392" t="s">
        <v>2</v>
      </c>
      <c r="K392" s="1">
        <v>9.4109953703703716E-4</v>
      </c>
      <c r="L392">
        <f t="shared" si="5"/>
        <v>20</v>
      </c>
    </row>
    <row r="393" spans="1:12" x14ac:dyDescent="0.3">
      <c r="A393" t="s">
        <v>71</v>
      </c>
      <c r="B393">
        <v>12</v>
      </c>
      <c r="C393">
        <v>43</v>
      </c>
      <c r="D393" t="s">
        <v>66</v>
      </c>
      <c r="E393" t="s">
        <v>37</v>
      </c>
      <c r="F393">
        <v>16</v>
      </c>
      <c r="G393">
        <v>70</v>
      </c>
      <c r="H393" t="s">
        <v>30</v>
      </c>
      <c r="I393">
        <v>0</v>
      </c>
      <c r="J393" t="s">
        <v>2</v>
      </c>
      <c r="K393" s="1">
        <v>9.2696759259259262E-4</v>
      </c>
      <c r="L393">
        <f t="shared" si="5"/>
        <v>20</v>
      </c>
    </row>
    <row r="394" spans="1:12" x14ac:dyDescent="0.3">
      <c r="A394" t="s">
        <v>71</v>
      </c>
      <c r="B394">
        <v>13</v>
      </c>
      <c r="C394">
        <v>31</v>
      </c>
      <c r="D394" t="s">
        <v>39</v>
      </c>
      <c r="E394" t="s">
        <v>40</v>
      </c>
      <c r="F394">
        <v>20</v>
      </c>
      <c r="G394">
        <v>70</v>
      </c>
      <c r="H394" t="s">
        <v>30</v>
      </c>
      <c r="I394">
        <v>0</v>
      </c>
      <c r="J394" t="s">
        <v>2</v>
      </c>
      <c r="K394" s="1">
        <v>9.3355324074074065E-4</v>
      </c>
      <c r="L394">
        <f t="shared" si="5"/>
        <v>20</v>
      </c>
    </row>
    <row r="395" spans="1:12" x14ac:dyDescent="0.3">
      <c r="A395" t="s">
        <v>71</v>
      </c>
      <c r="B395">
        <v>14</v>
      </c>
      <c r="C395">
        <v>77</v>
      </c>
      <c r="D395" t="s">
        <v>42</v>
      </c>
      <c r="E395" t="s">
        <v>29</v>
      </c>
      <c r="F395">
        <v>15</v>
      </c>
      <c r="G395">
        <v>70</v>
      </c>
      <c r="H395" t="s">
        <v>30</v>
      </c>
      <c r="I395">
        <v>0</v>
      </c>
      <c r="J395" t="s">
        <v>2</v>
      </c>
      <c r="K395" s="1">
        <v>9.3848379629629642E-4</v>
      </c>
      <c r="L395">
        <f t="shared" si="5"/>
        <v>20</v>
      </c>
    </row>
    <row r="396" spans="1:12" x14ac:dyDescent="0.3">
      <c r="A396" t="s">
        <v>71</v>
      </c>
      <c r="B396">
        <v>15</v>
      </c>
      <c r="C396">
        <v>24</v>
      </c>
      <c r="D396" t="s">
        <v>28</v>
      </c>
      <c r="E396" t="s">
        <v>29</v>
      </c>
      <c r="F396">
        <v>19</v>
      </c>
      <c r="G396">
        <v>70</v>
      </c>
      <c r="H396" t="s">
        <v>30</v>
      </c>
      <c r="I396">
        <v>0</v>
      </c>
      <c r="J396" t="s">
        <v>2</v>
      </c>
      <c r="K396" s="1">
        <v>9.439004629629629E-4</v>
      </c>
      <c r="L396">
        <f t="shared" si="5"/>
        <v>20</v>
      </c>
    </row>
    <row r="397" spans="1:12" x14ac:dyDescent="0.3">
      <c r="A397" t="s">
        <v>71</v>
      </c>
      <c r="B397">
        <v>16</v>
      </c>
      <c r="C397">
        <v>30</v>
      </c>
      <c r="D397" t="s">
        <v>70</v>
      </c>
      <c r="E397" t="s">
        <v>34</v>
      </c>
      <c r="F397">
        <v>12</v>
      </c>
      <c r="G397">
        <v>70</v>
      </c>
      <c r="H397" t="s">
        <v>30</v>
      </c>
      <c r="I397">
        <v>0</v>
      </c>
      <c r="J397" t="s">
        <v>2</v>
      </c>
      <c r="K397" s="1">
        <v>9.2016203703703693E-4</v>
      </c>
      <c r="L397">
        <f t="shared" si="5"/>
        <v>20</v>
      </c>
    </row>
    <row r="398" spans="1:12" x14ac:dyDescent="0.3">
      <c r="A398" t="s">
        <v>71</v>
      </c>
      <c r="B398">
        <v>17</v>
      </c>
      <c r="C398">
        <v>11</v>
      </c>
      <c r="D398" t="s">
        <v>15</v>
      </c>
      <c r="E398" t="s">
        <v>13</v>
      </c>
      <c r="F398">
        <v>18</v>
      </c>
      <c r="G398">
        <v>70</v>
      </c>
      <c r="H398" t="s">
        <v>30</v>
      </c>
      <c r="I398">
        <v>0</v>
      </c>
      <c r="J398" t="s">
        <v>2</v>
      </c>
      <c r="K398" s="1">
        <v>9.1677083333333335E-4</v>
      </c>
      <c r="L398">
        <f t="shared" si="5"/>
        <v>20</v>
      </c>
    </row>
    <row r="399" spans="1:12" x14ac:dyDescent="0.3">
      <c r="A399" t="s">
        <v>71</v>
      </c>
      <c r="B399" t="s">
        <v>47</v>
      </c>
      <c r="C399">
        <v>14</v>
      </c>
      <c r="D399" t="s">
        <v>25</v>
      </c>
      <c r="E399" t="s">
        <v>26</v>
      </c>
      <c r="F399">
        <v>13</v>
      </c>
      <c r="G399">
        <v>15</v>
      </c>
      <c r="H399" t="s">
        <v>48</v>
      </c>
      <c r="I399">
        <v>0</v>
      </c>
      <c r="J399" t="s">
        <v>2</v>
      </c>
      <c r="K399" s="1">
        <v>9.5743055555555566E-4</v>
      </c>
      <c r="L399">
        <f t="shared" si="5"/>
        <v>20</v>
      </c>
    </row>
    <row r="400" spans="1:12" x14ac:dyDescent="0.3">
      <c r="A400" t="s">
        <v>71</v>
      </c>
      <c r="B400" t="s">
        <v>47</v>
      </c>
      <c r="C400">
        <v>23</v>
      </c>
      <c r="D400" t="s">
        <v>36</v>
      </c>
      <c r="E400" t="s">
        <v>37</v>
      </c>
      <c r="F400">
        <v>9</v>
      </c>
      <c r="G400">
        <v>0</v>
      </c>
      <c r="H400" t="s">
        <v>48</v>
      </c>
      <c r="I400">
        <v>0</v>
      </c>
      <c r="J400" t="s">
        <v>2</v>
      </c>
      <c r="L400">
        <f t="shared" si="5"/>
        <v>20</v>
      </c>
    </row>
    <row r="401" spans="1:12" x14ac:dyDescent="0.3">
      <c r="A401" t="s">
        <v>71</v>
      </c>
      <c r="B401" t="s">
        <v>47</v>
      </c>
      <c r="C401">
        <v>22</v>
      </c>
      <c r="D401" t="s">
        <v>35</v>
      </c>
      <c r="E401" t="s">
        <v>34</v>
      </c>
      <c r="F401">
        <v>11</v>
      </c>
      <c r="G401">
        <v>0</v>
      </c>
      <c r="H401" t="s">
        <v>48</v>
      </c>
      <c r="I401">
        <v>0</v>
      </c>
      <c r="J401" t="s">
        <v>2</v>
      </c>
      <c r="L401">
        <f t="shared" si="5"/>
        <v>20</v>
      </c>
    </row>
    <row r="402" spans="1:12" x14ac:dyDescent="0.3">
      <c r="A402" t="s">
        <v>72</v>
      </c>
      <c r="B402">
        <v>1</v>
      </c>
      <c r="C402">
        <v>1</v>
      </c>
      <c r="D402" t="s">
        <v>12</v>
      </c>
      <c r="E402" t="s">
        <v>13</v>
      </c>
      <c r="F402">
        <v>17</v>
      </c>
      <c r="G402">
        <v>69</v>
      </c>
      <c r="H402" s="1">
        <v>8.8129976851851852E-2</v>
      </c>
      <c r="I402">
        <v>26</v>
      </c>
      <c r="J402" t="s">
        <v>14</v>
      </c>
      <c r="K402" s="1">
        <v>9.3138888888888893E-4</v>
      </c>
      <c r="L402">
        <f t="shared" si="5"/>
        <v>21</v>
      </c>
    </row>
    <row r="403" spans="1:12" x14ac:dyDescent="0.3">
      <c r="A403" t="s">
        <v>72</v>
      </c>
      <c r="B403">
        <v>2</v>
      </c>
      <c r="C403">
        <v>31</v>
      </c>
      <c r="D403" t="s">
        <v>39</v>
      </c>
      <c r="E403" t="s">
        <v>40</v>
      </c>
      <c r="F403">
        <v>4</v>
      </c>
      <c r="G403">
        <v>69</v>
      </c>
      <c r="H403">
        <v>19.477</v>
      </c>
      <c r="I403">
        <v>18</v>
      </c>
      <c r="J403" t="s">
        <v>2</v>
      </c>
      <c r="K403" s="1">
        <v>9.464236111111111E-4</v>
      </c>
      <c r="L403">
        <f t="shared" si="5"/>
        <v>21</v>
      </c>
    </row>
    <row r="404" spans="1:12" x14ac:dyDescent="0.3">
      <c r="A404" t="s">
        <v>72</v>
      </c>
      <c r="B404">
        <v>3</v>
      </c>
      <c r="C404">
        <v>10</v>
      </c>
      <c r="D404" t="s">
        <v>41</v>
      </c>
      <c r="E404" t="s">
        <v>40</v>
      </c>
      <c r="F404">
        <v>13</v>
      </c>
      <c r="G404">
        <v>69</v>
      </c>
      <c r="H404">
        <v>22.532</v>
      </c>
      <c r="I404">
        <v>15</v>
      </c>
      <c r="J404" t="s">
        <v>2</v>
      </c>
      <c r="K404" s="1">
        <v>9.4496527777777775E-4</v>
      </c>
      <c r="L404">
        <f t="shared" si="5"/>
        <v>21</v>
      </c>
    </row>
    <row r="405" spans="1:12" x14ac:dyDescent="0.3">
      <c r="A405" t="s">
        <v>72</v>
      </c>
      <c r="B405">
        <v>4</v>
      </c>
      <c r="C405">
        <v>63</v>
      </c>
      <c r="D405" t="s">
        <v>19</v>
      </c>
      <c r="E405" t="s">
        <v>20</v>
      </c>
      <c r="F405">
        <v>2</v>
      </c>
      <c r="G405">
        <v>69</v>
      </c>
      <c r="H405">
        <v>23.265000000000001</v>
      </c>
      <c r="I405">
        <v>12</v>
      </c>
      <c r="J405" t="s">
        <v>2</v>
      </c>
      <c r="K405" s="1">
        <v>9.4496527777777775E-4</v>
      </c>
      <c r="L405">
        <f t="shared" si="5"/>
        <v>21</v>
      </c>
    </row>
    <row r="406" spans="1:12" x14ac:dyDescent="0.3">
      <c r="A406" t="s">
        <v>72</v>
      </c>
      <c r="B406">
        <v>5</v>
      </c>
      <c r="C406">
        <v>16</v>
      </c>
      <c r="D406" t="s">
        <v>18</v>
      </c>
      <c r="E406" t="s">
        <v>17</v>
      </c>
      <c r="F406">
        <v>6</v>
      </c>
      <c r="G406">
        <v>69</v>
      </c>
      <c r="H406">
        <v>30.177</v>
      </c>
      <c r="I406">
        <v>10</v>
      </c>
      <c r="J406" t="s">
        <v>2</v>
      </c>
      <c r="K406" s="1">
        <v>9.4480324074074074E-4</v>
      </c>
      <c r="L406">
        <f t="shared" si="5"/>
        <v>21</v>
      </c>
    </row>
    <row r="407" spans="1:12" x14ac:dyDescent="0.3">
      <c r="A407" t="s">
        <v>72</v>
      </c>
      <c r="B407">
        <v>6</v>
      </c>
      <c r="C407">
        <v>4</v>
      </c>
      <c r="D407" t="s">
        <v>21</v>
      </c>
      <c r="E407" t="s">
        <v>22</v>
      </c>
      <c r="F407">
        <v>1</v>
      </c>
      <c r="G407">
        <v>69</v>
      </c>
      <c r="H407">
        <v>31.372</v>
      </c>
      <c r="I407">
        <v>8</v>
      </c>
      <c r="J407" t="s">
        <v>2</v>
      </c>
      <c r="K407" s="1">
        <v>9.4348379629629621E-4</v>
      </c>
      <c r="L407">
        <f t="shared" ref="L407:L470" si="6">L387+1</f>
        <v>21</v>
      </c>
    </row>
    <row r="408" spans="1:12" x14ac:dyDescent="0.3">
      <c r="A408" t="s">
        <v>72</v>
      </c>
      <c r="B408">
        <v>7</v>
      </c>
      <c r="C408">
        <v>22</v>
      </c>
      <c r="D408" t="s">
        <v>35</v>
      </c>
      <c r="E408" t="s">
        <v>34</v>
      </c>
      <c r="F408">
        <v>3</v>
      </c>
      <c r="G408">
        <v>69</v>
      </c>
      <c r="H408">
        <v>42.055999999999997</v>
      </c>
      <c r="I408">
        <v>6</v>
      </c>
      <c r="J408" t="s">
        <v>2</v>
      </c>
      <c r="K408" s="1">
        <v>9.4708333333333341E-4</v>
      </c>
      <c r="L408">
        <f t="shared" si="6"/>
        <v>21</v>
      </c>
    </row>
    <row r="409" spans="1:12" x14ac:dyDescent="0.3">
      <c r="A409" t="s">
        <v>72</v>
      </c>
      <c r="B409">
        <v>8</v>
      </c>
      <c r="C409">
        <v>81</v>
      </c>
      <c r="D409" t="s">
        <v>24</v>
      </c>
      <c r="E409" t="s">
        <v>22</v>
      </c>
      <c r="F409">
        <v>8</v>
      </c>
      <c r="G409">
        <v>69</v>
      </c>
      <c r="H409">
        <v>44.942999999999998</v>
      </c>
      <c r="I409">
        <v>4</v>
      </c>
      <c r="J409" t="s">
        <v>2</v>
      </c>
      <c r="K409" s="1">
        <v>9.4365740740740738E-4</v>
      </c>
      <c r="L409">
        <f t="shared" si="6"/>
        <v>21</v>
      </c>
    </row>
    <row r="410" spans="1:12" x14ac:dyDescent="0.3">
      <c r="A410" t="s">
        <v>72</v>
      </c>
      <c r="B410">
        <v>9</v>
      </c>
      <c r="C410">
        <v>30</v>
      </c>
      <c r="D410" t="s">
        <v>70</v>
      </c>
      <c r="E410" t="s">
        <v>34</v>
      </c>
      <c r="F410">
        <v>5</v>
      </c>
      <c r="G410">
        <v>69</v>
      </c>
      <c r="H410">
        <v>50.451999999999998</v>
      </c>
      <c r="I410">
        <v>2</v>
      </c>
      <c r="J410" t="s">
        <v>2</v>
      </c>
      <c r="K410" s="1">
        <v>9.5049768518518519E-4</v>
      </c>
      <c r="L410">
        <f t="shared" si="6"/>
        <v>21</v>
      </c>
    </row>
    <row r="411" spans="1:12" x14ac:dyDescent="0.3">
      <c r="A411" t="s">
        <v>72</v>
      </c>
      <c r="B411">
        <v>10</v>
      </c>
      <c r="C411">
        <v>44</v>
      </c>
      <c r="D411" t="s">
        <v>23</v>
      </c>
      <c r="E411" t="s">
        <v>20</v>
      </c>
      <c r="F411">
        <v>14</v>
      </c>
      <c r="G411">
        <v>69</v>
      </c>
      <c r="H411">
        <v>50.753</v>
      </c>
      <c r="I411">
        <v>1</v>
      </c>
      <c r="J411" t="s">
        <v>2</v>
      </c>
      <c r="K411" s="1">
        <v>9.4954861111111108E-4</v>
      </c>
      <c r="L411">
        <f t="shared" si="6"/>
        <v>21</v>
      </c>
    </row>
    <row r="412" spans="1:12" x14ac:dyDescent="0.3">
      <c r="A412" t="s">
        <v>72</v>
      </c>
      <c r="B412">
        <v>11</v>
      </c>
      <c r="C412">
        <v>11</v>
      </c>
      <c r="D412" t="s">
        <v>15</v>
      </c>
      <c r="E412" t="s">
        <v>13</v>
      </c>
      <c r="F412">
        <v>12</v>
      </c>
      <c r="G412">
        <v>69</v>
      </c>
      <c r="H412">
        <v>51.530999999999999</v>
      </c>
      <c r="I412">
        <v>0</v>
      </c>
      <c r="J412" t="s">
        <v>2</v>
      </c>
      <c r="K412" s="1">
        <v>9.5072916666666667E-4</v>
      </c>
      <c r="L412">
        <f t="shared" si="6"/>
        <v>21</v>
      </c>
    </row>
    <row r="413" spans="1:12" x14ac:dyDescent="0.3">
      <c r="A413" t="s">
        <v>72</v>
      </c>
      <c r="B413">
        <v>12</v>
      </c>
      <c r="C413">
        <v>50</v>
      </c>
      <c r="D413" t="s">
        <v>46</v>
      </c>
      <c r="E413" t="s">
        <v>32</v>
      </c>
      <c r="F413">
        <v>15</v>
      </c>
      <c r="G413">
        <v>69</v>
      </c>
      <c r="H413">
        <v>57.085000000000001</v>
      </c>
      <c r="I413">
        <v>0</v>
      </c>
      <c r="J413" t="s">
        <v>2</v>
      </c>
      <c r="K413" s="1">
        <v>9.5479166666666661E-4</v>
      </c>
      <c r="L413">
        <f t="shared" si="6"/>
        <v>21</v>
      </c>
    </row>
    <row r="414" spans="1:12" x14ac:dyDescent="0.3">
      <c r="A414" t="s">
        <v>72</v>
      </c>
      <c r="B414">
        <v>13</v>
      </c>
      <c r="C414">
        <v>77</v>
      </c>
      <c r="D414" t="s">
        <v>42</v>
      </c>
      <c r="E414" t="s">
        <v>29</v>
      </c>
      <c r="F414">
        <v>11</v>
      </c>
      <c r="G414">
        <v>69</v>
      </c>
      <c r="H414">
        <v>63.588000000000001</v>
      </c>
      <c r="I414">
        <v>0</v>
      </c>
      <c r="J414" t="s">
        <v>2</v>
      </c>
      <c r="K414" s="1">
        <v>9.5922453703703697E-4</v>
      </c>
      <c r="L414">
        <f t="shared" si="6"/>
        <v>21</v>
      </c>
    </row>
    <row r="415" spans="1:12" x14ac:dyDescent="0.3">
      <c r="A415" t="s">
        <v>72</v>
      </c>
      <c r="B415">
        <v>14</v>
      </c>
      <c r="C415">
        <v>14</v>
      </c>
      <c r="D415" t="s">
        <v>25</v>
      </c>
      <c r="E415" t="s">
        <v>26</v>
      </c>
      <c r="F415">
        <v>9</v>
      </c>
      <c r="G415">
        <v>69</v>
      </c>
      <c r="H415">
        <v>78.049000000000007</v>
      </c>
      <c r="I415">
        <v>0</v>
      </c>
      <c r="J415" t="s">
        <v>2</v>
      </c>
      <c r="K415" s="1">
        <v>9.5246527777777788E-4</v>
      </c>
      <c r="L415">
        <f t="shared" si="6"/>
        <v>21</v>
      </c>
    </row>
    <row r="416" spans="1:12" x14ac:dyDescent="0.3">
      <c r="A416" t="s">
        <v>72</v>
      </c>
      <c r="B416">
        <v>15</v>
      </c>
      <c r="C416">
        <v>24</v>
      </c>
      <c r="D416" t="s">
        <v>28</v>
      </c>
      <c r="E416" t="s">
        <v>29</v>
      </c>
      <c r="F416">
        <v>19</v>
      </c>
      <c r="G416">
        <v>69</v>
      </c>
      <c r="H416">
        <v>79.649000000000001</v>
      </c>
      <c r="I416">
        <v>0</v>
      </c>
      <c r="J416" t="s">
        <v>2</v>
      </c>
      <c r="K416" s="1">
        <v>9.6131944444444433E-4</v>
      </c>
      <c r="L416">
        <f t="shared" si="6"/>
        <v>21</v>
      </c>
    </row>
    <row r="417" spans="1:12" x14ac:dyDescent="0.3">
      <c r="A417" t="s">
        <v>72</v>
      </c>
      <c r="B417" t="s">
        <v>47</v>
      </c>
      <c r="C417">
        <v>55</v>
      </c>
      <c r="D417" t="s">
        <v>16</v>
      </c>
      <c r="E417" t="s">
        <v>17</v>
      </c>
      <c r="F417">
        <v>20</v>
      </c>
      <c r="G417">
        <v>38</v>
      </c>
      <c r="H417" t="s">
        <v>48</v>
      </c>
      <c r="I417">
        <v>0</v>
      </c>
      <c r="J417" t="s">
        <v>2</v>
      </c>
      <c r="K417" s="1">
        <v>9.7454861111111104E-4</v>
      </c>
      <c r="L417">
        <f t="shared" si="6"/>
        <v>21</v>
      </c>
    </row>
    <row r="418" spans="1:12" x14ac:dyDescent="0.3">
      <c r="A418" t="s">
        <v>72</v>
      </c>
      <c r="B418" t="s">
        <v>47</v>
      </c>
      <c r="C418">
        <v>43</v>
      </c>
      <c r="D418" t="s">
        <v>66</v>
      </c>
      <c r="E418" t="s">
        <v>37</v>
      </c>
      <c r="F418">
        <v>16</v>
      </c>
      <c r="G418">
        <v>30</v>
      </c>
      <c r="H418" t="s">
        <v>48</v>
      </c>
      <c r="I418">
        <v>0</v>
      </c>
      <c r="J418" t="s">
        <v>2</v>
      </c>
      <c r="K418" s="1">
        <v>9.7564814814814801E-4</v>
      </c>
      <c r="L418">
        <f t="shared" si="6"/>
        <v>21</v>
      </c>
    </row>
    <row r="419" spans="1:12" x14ac:dyDescent="0.3">
      <c r="A419" t="s">
        <v>72</v>
      </c>
      <c r="B419" t="s">
        <v>47</v>
      </c>
      <c r="C419">
        <v>23</v>
      </c>
      <c r="D419" t="s">
        <v>36</v>
      </c>
      <c r="E419" t="s">
        <v>37</v>
      </c>
      <c r="F419">
        <v>7</v>
      </c>
      <c r="G419">
        <v>0</v>
      </c>
      <c r="H419" t="s">
        <v>60</v>
      </c>
      <c r="I419">
        <v>0</v>
      </c>
      <c r="J419" t="s">
        <v>2</v>
      </c>
      <c r="L419">
        <f t="shared" si="6"/>
        <v>21</v>
      </c>
    </row>
    <row r="420" spans="1:12" x14ac:dyDescent="0.3">
      <c r="A420" t="s">
        <v>72</v>
      </c>
      <c r="B420" t="s">
        <v>47</v>
      </c>
      <c r="C420">
        <v>18</v>
      </c>
      <c r="D420" t="s">
        <v>27</v>
      </c>
      <c r="E420" t="s">
        <v>26</v>
      </c>
      <c r="F420">
        <v>10</v>
      </c>
      <c r="G420">
        <v>0</v>
      </c>
      <c r="H420" t="s">
        <v>60</v>
      </c>
      <c r="I420">
        <v>0</v>
      </c>
      <c r="J420" t="s">
        <v>2</v>
      </c>
      <c r="L420">
        <f t="shared" si="6"/>
        <v>21</v>
      </c>
    </row>
    <row r="421" spans="1:12" x14ac:dyDescent="0.3">
      <c r="A421" t="s">
        <v>72</v>
      </c>
      <c r="B421" t="s">
        <v>63</v>
      </c>
      <c r="C421">
        <v>27</v>
      </c>
      <c r="D421" t="s">
        <v>38</v>
      </c>
      <c r="E421" t="s">
        <v>32</v>
      </c>
      <c r="F421">
        <v>18</v>
      </c>
      <c r="G421">
        <v>0</v>
      </c>
      <c r="H421" t="s">
        <v>73</v>
      </c>
      <c r="I421">
        <v>0</v>
      </c>
      <c r="J421" t="s">
        <v>2</v>
      </c>
      <c r="K421" s="1">
        <v>9.6949074074074071E-4</v>
      </c>
      <c r="L421">
        <f t="shared" si="6"/>
        <v>21</v>
      </c>
    </row>
    <row r="422" spans="1:12" x14ac:dyDescent="0.3">
      <c r="A422" t="s">
        <v>74</v>
      </c>
      <c r="B422">
        <v>1</v>
      </c>
      <c r="C422">
        <v>63</v>
      </c>
      <c r="D422" t="s">
        <v>19</v>
      </c>
      <c r="E422" t="s">
        <v>20</v>
      </c>
      <c r="F422">
        <v>1</v>
      </c>
      <c r="G422">
        <v>50</v>
      </c>
      <c r="H422" s="1">
        <v>5.7013530092592593E-2</v>
      </c>
      <c r="I422">
        <v>25</v>
      </c>
      <c r="J422" t="s">
        <v>2</v>
      </c>
      <c r="K422" s="1">
        <v>1.1078356481481482E-3</v>
      </c>
      <c r="L422">
        <f t="shared" si="6"/>
        <v>22</v>
      </c>
    </row>
    <row r="423" spans="1:12" x14ac:dyDescent="0.3">
      <c r="A423" t="s">
        <v>74</v>
      </c>
      <c r="B423">
        <v>2</v>
      </c>
      <c r="C423">
        <v>44</v>
      </c>
      <c r="D423" t="s">
        <v>23</v>
      </c>
      <c r="E423" t="s">
        <v>20</v>
      </c>
      <c r="F423">
        <v>10</v>
      </c>
      <c r="G423">
        <v>50</v>
      </c>
      <c r="H423">
        <v>7.3129999999999997</v>
      </c>
      <c r="I423">
        <v>18</v>
      </c>
      <c r="J423" t="s">
        <v>2</v>
      </c>
      <c r="K423" s="1">
        <v>1.1050925925925924E-3</v>
      </c>
      <c r="L423">
        <f t="shared" si="6"/>
        <v>22</v>
      </c>
    </row>
    <row r="424" spans="1:12" x14ac:dyDescent="0.3">
      <c r="A424" t="s">
        <v>74</v>
      </c>
      <c r="B424">
        <v>3</v>
      </c>
      <c r="C424">
        <v>55</v>
      </c>
      <c r="D424" t="s">
        <v>16</v>
      </c>
      <c r="E424" t="s">
        <v>17</v>
      </c>
      <c r="F424">
        <v>2</v>
      </c>
      <c r="G424">
        <v>50</v>
      </c>
      <c r="H424">
        <v>11.906000000000001</v>
      </c>
      <c r="I424">
        <v>15</v>
      </c>
      <c r="J424" t="s">
        <v>2</v>
      </c>
      <c r="K424" s="1">
        <v>1.1096643518518519E-3</v>
      </c>
      <c r="L424">
        <f t="shared" si="6"/>
        <v>22</v>
      </c>
    </row>
    <row r="425" spans="1:12" x14ac:dyDescent="0.3">
      <c r="A425" t="s">
        <v>74</v>
      </c>
      <c r="B425">
        <v>4</v>
      </c>
      <c r="C425">
        <v>16</v>
      </c>
      <c r="D425" t="s">
        <v>18</v>
      </c>
      <c r="E425" t="s">
        <v>17</v>
      </c>
      <c r="F425">
        <v>4</v>
      </c>
      <c r="G425">
        <v>50</v>
      </c>
      <c r="H425">
        <v>14.282999999999999</v>
      </c>
      <c r="I425">
        <v>12</v>
      </c>
      <c r="J425" t="s">
        <v>2</v>
      </c>
      <c r="K425" s="1">
        <v>1.107337962962963E-3</v>
      </c>
      <c r="L425">
        <f t="shared" si="6"/>
        <v>22</v>
      </c>
    </row>
    <row r="426" spans="1:12" x14ac:dyDescent="0.3">
      <c r="A426" t="s">
        <v>74</v>
      </c>
      <c r="B426">
        <v>5</v>
      </c>
      <c r="C426">
        <v>1</v>
      </c>
      <c r="D426" t="s">
        <v>12</v>
      </c>
      <c r="E426" t="s">
        <v>13</v>
      </c>
      <c r="F426">
        <v>5</v>
      </c>
      <c r="G426">
        <v>50</v>
      </c>
      <c r="H426">
        <v>16.582000000000001</v>
      </c>
      <c r="I426">
        <v>10</v>
      </c>
      <c r="J426" t="s">
        <v>2</v>
      </c>
      <c r="K426" s="1">
        <v>1.1139814814814814E-3</v>
      </c>
      <c r="L426">
        <f t="shared" si="6"/>
        <v>22</v>
      </c>
    </row>
    <row r="427" spans="1:12" x14ac:dyDescent="0.3">
      <c r="A427" t="s">
        <v>74</v>
      </c>
      <c r="B427">
        <v>6</v>
      </c>
      <c r="C427">
        <v>4</v>
      </c>
      <c r="D427" t="s">
        <v>21</v>
      </c>
      <c r="E427" t="s">
        <v>22</v>
      </c>
      <c r="F427">
        <v>6</v>
      </c>
      <c r="G427">
        <v>50</v>
      </c>
      <c r="H427">
        <v>43.384999999999998</v>
      </c>
      <c r="I427">
        <v>9</v>
      </c>
      <c r="J427" t="s">
        <v>14</v>
      </c>
      <c r="K427" s="1">
        <v>1.0981018518518518E-3</v>
      </c>
      <c r="L427">
        <f t="shared" si="6"/>
        <v>22</v>
      </c>
    </row>
    <row r="428" spans="1:12" x14ac:dyDescent="0.3">
      <c r="A428" t="s">
        <v>74</v>
      </c>
      <c r="B428">
        <v>7</v>
      </c>
      <c r="C428">
        <v>81</v>
      </c>
      <c r="D428" t="s">
        <v>24</v>
      </c>
      <c r="E428" t="s">
        <v>22</v>
      </c>
      <c r="F428">
        <v>8</v>
      </c>
      <c r="G428">
        <v>50</v>
      </c>
      <c r="H428">
        <v>51.365000000000002</v>
      </c>
      <c r="I428">
        <v>6</v>
      </c>
      <c r="J428" t="s">
        <v>2</v>
      </c>
      <c r="K428" s="1">
        <v>1.1180324074074074E-3</v>
      </c>
      <c r="L428">
        <f t="shared" si="6"/>
        <v>22</v>
      </c>
    </row>
    <row r="429" spans="1:12" x14ac:dyDescent="0.3">
      <c r="A429" t="s">
        <v>74</v>
      </c>
      <c r="B429">
        <v>8</v>
      </c>
      <c r="C429">
        <v>27</v>
      </c>
      <c r="D429" t="s">
        <v>38</v>
      </c>
      <c r="E429" t="s">
        <v>32</v>
      </c>
      <c r="F429">
        <v>9</v>
      </c>
      <c r="G429">
        <v>50</v>
      </c>
      <c r="H429">
        <v>59.808</v>
      </c>
      <c r="I429">
        <v>4</v>
      </c>
      <c r="J429" t="s">
        <v>2</v>
      </c>
      <c r="K429" s="1">
        <v>1.1178819444444446E-3</v>
      </c>
      <c r="L429">
        <f t="shared" si="6"/>
        <v>22</v>
      </c>
    </row>
    <row r="430" spans="1:12" x14ac:dyDescent="0.3">
      <c r="A430" t="s">
        <v>74</v>
      </c>
      <c r="B430">
        <v>9</v>
      </c>
      <c r="C430">
        <v>22</v>
      </c>
      <c r="D430" t="s">
        <v>35</v>
      </c>
      <c r="E430" t="s">
        <v>34</v>
      </c>
      <c r="F430">
        <v>7</v>
      </c>
      <c r="G430">
        <v>50</v>
      </c>
      <c r="H430">
        <v>62.808</v>
      </c>
      <c r="I430">
        <v>2</v>
      </c>
      <c r="J430" t="s">
        <v>2</v>
      </c>
      <c r="K430" s="1">
        <v>1.1221874999999999E-3</v>
      </c>
      <c r="L430">
        <f t="shared" si="6"/>
        <v>22</v>
      </c>
    </row>
    <row r="431" spans="1:12" x14ac:dyDescent="0.3">
      <c r="A431" t="s">
        <v>74</v>
      </c>
      <c r="B431">
        <v>10</v>
      </c>
      <c r="C431">
        <v>11</v>
      </c>
      <c r="D431" t="s">
        <v>15</v>
      </c>
      <c r="E431" t="s">
        <v>13</v>
      </c>
      <c r="F431">
        <v>15</v>
      </c>
      <c r="G431">
        <v>50</v>
      </c>
      <c r="H431">
        <v>63.113999999999997</v>
      </c>
      <c r="I431">
        <v>1</v>
      </c>
      <c r="J431" t="s">
        <v>2</v>
      </c>
      <c r="K431" s="1">
        <v>1.1148842592592593E-3</v>
      </c>
      <c r="L431">
        <f t="shared" si="6"/>
        <v>22</v>
      </c>
    </row>
    <row r="432" spans="1:12" x14ac:dyDescent="0.3">
      <c r="A432" t="s">
        <v>74</v>
      </c>
      <c r="B432">
        <v>11</v>
      </c>
      <c r="C432">
        <v>14</v>
      </c>
      <c r="D432" t="s">
        <v>25</v>
      </c>
      <c r="E432" t="s">
        <v>26</v>
      </c>
      <c r="F432">
        <v>16</v>
      </c>
      <c r="G432">
        <v>50</v>
      </c>
      <c r="H432">
        <v>69.194999999999993</v>
      </c>
      <c r="I432">
        <v>0</v>
      </c>
      <c r="J432" t="s">
        <v>2</v>
      </c>
      <c r="K432" s="1">
        <v>1.1175115740740739E-3</v>
      </c>
      <c r="L432">
        <f t="shared" si="6"/>
        <v>22</v>
      </c>
    </row>
    <row r="433" spans="1:12" x14ac:dyDescent="0.3">
      <c r="A433" t="s">
        <v>74</v>
      </c>
      <c r="B433">
        <v>12</v>
      </c>
      <c r="C433">
        <v>20</v>
      </c>
      <c r="D433" t="s">
        <v>31</v>
      </c>
      <c r="E433" t="s">
        <v>32</v>
      </c>
      <c r="F433">
        <v>12</v>
      </c>
      <c r="G433">
        <v>50</v>
      </c>
      <c r="H433">
        <v>69.802999999999997</v>
      </c>
      <c r="I433">
        <v>0</v>
      </c>
      <c r="J433" t="s">
        <v>2</v>
      </c>
      <c r="K433" s="1">
        <v>1.1175578703703703E-3</v>
      </c>
      <c r="L433">
        <f t="shared" si="6"/>
        <v>22</v>
      </c>
    </row>
    <row r="434" spans="1:12" x14ac:dyDescent="0.3">
      <c r="A434" t="s">
        <v>74</v>
      </c>
      <c r="B434">
        <v>13</v>
      </c>
      <c r="C434">
        <v>24</v>
      </c>
      <c r="D434" t="s">
        <v>28</v>
      </c>
      <c r="E434" t="s">
        <v>29</v>
      </c>
      <c r="F434">
        <v>13</v>
      </c>
      <c r="G434">
        <v>50</v>
      </c>
      <c r="H434">
        <v>74.084999999999994</v>
      </c>
      <c r="I434">
        <v>0</v>
      </c>
      <c r="J434" t="s">
        <v>2</v>
      </c>
      <c r="K434" s="1">
        <v>1.1148611111111112E-3</v>
      </c>
      <c r="L434">
        <f t="shared" si="6"/>
        <v>22</v>
      </c>
    </row>
    <row r="435" spans="1:12" x14ac:dyDescent="0.3">
      <c r="A435" t="s">
        <v>74</v>
      </c>
      <c r="B435">
        <v>14</v>
      </c>
      <c r="C435">
        <v>43</v>
      </c>
      <c r="D435" t="s">
        <v>66</v>
      </c>
      <c r="E435" t="s">
        <v>37</v>
      </c>
      <c r="F435">
        <v>20</v>
      </c>
      <c r="G435">
        <v>50</v>
      </c>
      <c r="H435">
        <v>75.171999999999997</v>
      </c>
      <c r="I435">
        <v>0</v>
      </c>
      <c r="J435" t="s">
        <v>2</v>
      </c>
      <c r="K435" s="1">
        <v>1.1211458333333332E-3</v>
      </c>
      <c r="L435">
        <f t="shared" si="6"/>
        <v>22</v>
      </c>
    </row>
    <row r="436" spans="1:12" x14ac:dyDescent="0.3">
      <c r="A436" t="s">
        <v>74</v>
      </c>
      <c r="B436">
        <v>15</v>
      </c>
      <c r="C436">
        <v>18</v>
      </c>
      <c r="D436" t="s">
        <v>27</v>
      </c>
      <c r="E436" t="s">
        <v>26</v>
      </c>
      <c r="F436">
        <v>18</v>
      </c>
      <c r="G436">
        <v>50</v>
      </c>
      <c r="H436">
        <v>84.102000000000004</v>
      </c>
      <c r="I436">
        <v>0</v>
      </c>
      <c r="J436" t="s">
        <v>2</v>
      </c>
      <c r="K436" s="1">
        <v>1.1247569444444445E-3</v>
      </c>
      <c r="L436">
        <f t="shared" si="6"/>
        <v>22</v>
      </c>
    </row>
    <row r="437" spans="1:12" x14ac:dyDescent="0.3">
      <c r="A437" t="s">
        <v>74</v>
      </c>
      <c r="B437">
        <v>16</v>
      </c>
      <c r="C437">
        <v>30</v>
      </c>
      <c r="D437" t="s">
        <v>70</v>
      </c>
      <c r="E437" t="s">
        <v>34</v>
      </c>
      <c r="F437">
        <v>14</v>
      </c>
      <c r="G437">
        <v>50</v>
      </c>
      <c r="H437">
        <v>91.004999999999995</v>
      </c>
      <c r="I437">
        <v>0</v>
      </c>
      <c r="J437" t="s">
        <v>2</v>
      </c>
      <c r="K437" s="1">
        <v>1.1224537037037036E-3</v>
      </c>
      <c r="L437">
        <f t="shared" si="6"/>
        <v>22</v>
      </c>
    </row>
    <row r="438" spans="1:12" x14ac:dyDescent="0.3">
      <c r="A438" t="s">
        <v>74</v>
      </c>
      <c r="B438">
        <v>17</v>
      </c>
      <c r="C438">
        <v>31</v>
      </c>
      <c r="D438" t="s">
        <v>39</v>
      </c>
      <c r="E438" t="s">
        <v>40</v>
      </c>
      <c r="F438">
        <v>11</v>
      </c>
      <c r="G438">
        <v>49</v>
      </c>
      <c r="H438" t="s">
        <v>30</v>
      </c>
      <c r="I438">
        <v>0</v>
      </c>
      <c r="J438" t="s">
        <v>2</v>
      </c>
      <c r="K438" s="1">
        <v>1.1170254629629629E-3</v>
      </c>
      <c r="L438">
        <f t="shared" si="6"/>
        <v>22</v>
      </c>
    </row>
    <row r="439" spans="1:12" x14ac:dyDescent="0.3">
      <c r="A439" t="s">
        <v>74</v>
      </c>
      <c r="B439">
        <v>18</v>
      </c>
      <c r="C439">
        <v>77</v>
      </c>
      <c r="D439" t="s">
        <v>42</v>
      </c>
      <c r="E439" t="s">
        <v>29</v>
      </c>
      <c r="F439">
        <v>19</v>
      </c>
      <c r="G439">
        <v>49</v>
      </c>
      <c r="H439" t="s">
        <v>30</v>
      </c>
      <c r="I439">
        <v>0</v>
      </c>
      <c r="J439" t="s">
        <v>2</v>
      </c>
      <c r="K439" s="1">
        <v>1.1180671296296297E-3</v>
      </c>
      <c r="L439">
        <f t="shared" si="6"/>
        <v>22</v>
      </c>
    </row>
    <row r="440" spans="1:12" x14ac:dyDescent="0.3">
      <c r="A440" t="s">
        <v>74</v>
      </c>
      <c r="B440" t="s">
        <v>47</v>
      </c>
      <c r="C440">
        <v>23</v>
      </c>
      <c r="D440" t="s">
        <v>36</v>
      </c>
      <c r="E440" t="s">
        <v>37</v>
      </c>
      <c r="F440">
        <v>17</v>
      </c>
      <c r="G440">
        <v>25</v>
      </c>
      <c r="H440" t="s">
        <v>48</v>
      </c>
      <c r="I440">
        <v>0</v>
      </c>
      <c r="J440" t="s">
        <v>2</v>
      </c>
      <c r="K440" s="1">
        <v>1.1343518518518519E-3</v>
      </c>
      <c r="L440">
        <f t="shared" si="6"/>
        <v>22</v>
      </c>
    </row>
    <row r="441" spans="1:12" x14ac:dyDescent="0.3">
      <c r="A441" t="s">
        <v>74</v>
      </c>
      <c r="B441" t="s">
        <v>47</v>
      </c>
      <c r="C441">
        <v>10</v>
      </c>
      <c r="D441" t="s">
        <v>41</v>
      </c>
      <c r="E441" t="s">
        <v>40</v>
      </c>
      <c r="F441">
        <v>3</v>
      </c>
      <c r="G441">
        <v>15</v>
      </c>
      <c r="H441" t="s">
        <v>48</v>
      </c>
      <c r="I441">
        <v>0</v>
      </c>
      <c r="J441" t="s">
        <v>2</v>
      </c>
      <c r="K441" s="1">
        <v>1.1378935185185183E-3</v>
      </c>
      <c r="L441">
        <f t="shared" si="6"/>
        <v>22</v>
      </c>
    </row>
    <row r="442" spans="1:12" x14ac:dyDescent="0.3">
      <c r="A442" t="s">
        <v>75</v>
      </c>
      <c r="B442">
        <v>1</v>
      </c>
      <c r="C442">
        <v>1</v>
      </c>
      <c r="D442" t="s">
        <v>12</v>
      </c>
      <c r="E442" t="s">
        <v>13</v>
      </c>
      <c r="F442">
        <v>2</v>
      </c>
      <c r="G442">
        <v>57</v>
      </c>
      <c r="H442" s="1">
        <v>6.3256053240740739E-2</v>
      </c>
      <c r="I442">
        <v>25</v>
      </c>
      <c r="J442" t="s">
        <v>2</v>
      </c>
      <c r="K442" s="1">
        <v>9.5954861111111111E-4</v>
      </c>
      <c r="L442">
        <f t="shared" si="6"/>
        <v>23</v>
      </c>
    </row>
    <row r="443" spans="1:12" x14ac:dyDescent="0.3">
      <c r="A443" t="s">
        <v>75</v>
      </c>
      <c r="B443">
        <v>2</v>
      </c>
      <c r="C443">
        <v>16</v>
      </c>
      <c r="D443" t="s">
        <v>18</v>
      </c>
      <c r="E443" t="s">
        <v>17</v>
      </c>
      <c r="F443">
        <v>5</v>
      </c>
      <c r="G443">
        <v>57</v>
      </c>
      <c r="H443">
        <v>6.0309999999999997</v>
      </c>
      <c r="I443">
        <v>18</v>
      </c>
      <c r="J443" t="s">
        <v>2</v>
      </c>
      <c r="K443" s="1">
        <v>9.6344907407407414E-4</v>
      </c>
      <c r="L443">
        <f t="shared" si="6"/>
        <v>23</v>
      </c>
    </row>
    <row r="444" spans="1:12" x14ac:dyDescent="0.3">
      <c r="A444" t="s">
        <v>75</v>
      </c>
      <c r="B444">
        <v>3</v>
      </c>
      <c r="C444">
        <v>81</v>
      </c>
      <c r="D444" t="s">
        <v>24</v>
      </c>
      <c r="E444" t="s">
        <v>22</v>
      </c>
      <c r="F444">
        <v>4</v>
      </c>
      <c r="G444">
        <v>57</v>
      </c>
      <c r="H444">
        <v>6.819</v>
      </c>
      <c r="I444">
        <v>15</v>
      </c>
      <c r="J444" t="s">
        <v>2</v>
      </c>
      <c r="K444" s="1">
        <v>9.6317129629629639E-4</v>
      </c>
      <c r="L444">
        <f t="shared" si="6"/>
        <v>23</v>
      </c>
    </row>
    <row r="445" spans="1:12" x14ac:dyDescent="0.3">
      <c r="A445" t="s">
        <v>75</v>
      </c>
      <c r="B445">
        <v>4</v>
      </c>
      <c r="C445">
        <v>63</v>
      </c>
      <c r="D445" t="s">
        <v>19</v>
      </c>
      <c r="E445" t="s">
        <v>20</v>
      </c>
      <c r="F445">
        <v>1</v>
      </c>
      <c r="G445">
        <v>57</v>
      </c>
      <c r="H445">
        <v>14.103999999999999</v>
      </c>
      <c r="I445">
        <v>12</v>
      </c>
      <c r="J445" t="s">
        <v>2</v>
      </c>
      <c r="K445" s="1">
        <v>9.6475694444444452E-4</v>
      </c>
      <c r="L445">
        <f t="shared" si="6"/>
        <v>23</v>
      </c>
    </row>
    <row r="446" spans="1:12" x14ac:dyDescent="0.3">
      <c r="A446" t="s">
        <v>75</v>
      </c>
      <c r="B446">
        <v>5</v>
      </c>
      <c r="C446">
        <v>10</v>
      </c>
      <c r="D446" t="s">
        <v>41</v>
      </c>
      <c r="E446" t="s">
        <v>40</v>
      </c>
      <c r="F446">
        <v>11</v>
      </c>
      <c r="G446">
        <v>57</v>
      </c>
      <c r="H446">
        <v>16.782</v>
      </c>
      <c r="I446">
        <v>10</v>
      </c>
      <c r="J446" t="s">
        <v>2</v>
      </c>
      <c r="K446" s="1">
        <v>9.6880787037037031E-4</v>
      </c>
      <c r="L446">
        <f t="shared" si="6"/>
        <v>23</v>
      </c>
    </row>
    <row r="447" spans="1:12" x14ac:dyDescent="0.3">
      <c r="A447" t="s">
        <v>75</v>
      </c>
      <c r="B447">
        <v>6</v>
      </c>
      <c r="C447">
        <v>55</v>
      </c>
      <c r="D447" t="s">
        <v>16</v>
      </c>
      <c r="E447" t="s">
        <v>17</v>
      </c>
      <c r="F447">
        <v>7</v>
      </c>
      <c r="G447">
        <v>57</v>
      </c>
      <c r="H447">
        <v>17.475999999999999</v>
      </c>
      <c r="I447">
        <v>8</v>
      </c>
      <c r="J447" t="s">
        <v>2</v>
      </c>
      <c r="K447" s="1">
        <v>9.6603009259259266E-4</v>
      </c>
      <c r="L447">
        <f t="shared" si="6"/>
        <v>23</v>
      </c>
    </row>
    <row r="448" spans="1:12" x14ac:dyDescent="0.3">
      <c r="A448" t="s">
        <v>75</v>
      </c>
      <c r="B448">
        <v>7</v>
      </c>
      <c r="C448">
        <v>14</v>
      </c>
      <c r="D448" t="s">
        <v>25</v>
      </c>
      <c r="E448" t="s">
        <v>26</v>
      </c>
      <c r="F448">
        <v>8</v>
      </c>
      <c r="G448">
        <v>57</v>
      </c>
      <c r="H448">
        <v>19.867000000000001</v>
      </c>
      <c r="I448">
        <v>6</v>
      </c>
      <c r="J448" t="s">
        <v>2</v>
      </c>
      <c r="K448" s="1">
        <v>9.6836805555555554E-4</v>
      </c>
      <c r="L448">
        <f t="shared" si="6"/>
        <v>23</v>
      </c>
    </row>
    <row r="449" spans="1:12" x14ac:dyDescent="0.3">
      <c r="A449" t="s">
        <v>75</v>
      </c>
      <c r="B449">
        <v>8</v>
      </c>
      <c r="C449">
        <v>24</v>
      </c>
      <c r="D449" t="s">
        <v>28</v>
      </c>
      <c r="E449" t="s">
        <v>29</v>
      </c>
      <c r="F449">
        <v>12</v>
      </c>
      <c r="G449">
        <v>57</v>
      </c>
      <c r="H449">
        <v>25.36</v>
      </c>
      <c r="I449">
        <v>4</v>
      </c>
      <c r="J449" t="s">
        <v>2</v>
      </c>
      <c r="K449" s="1">
        <v>9.709374999999999E-4</v>
      </c>
      <c r="L449">
        <f t="shared" si="6"/>
        <v>23</v>
      </c>
    </row>
    <row r="450" spans="1:12" x14ac:dyDescent="0.3">
      <c r="A450" t="s">
        <v>75</v>
      </c>
      <c r="B450">
        <v>9</v>
      </c>
      <c r="C450">
        <v>20</v>
      </c>
      <c r="D450" t="s">
        <v>31</v>
      </c>
      <c r="E450" t="s">
        <v>32</v>
      </c>
      <c r="F450">
        <v>10</v>
      </c>
      <c r="G450">
        <v>57</v>
      </c>
      <c r="H450">
        <v>32.177</v>
      </c>
      <c r="I450">
        <v>2</v>
      </c>
      <c r="J450" t="s">
        <v>2</v>
      </c>
      <c r="K450" s="1">
        <v>9.7521990740740739E-4</v>
      </c>
      <c r="L450">
        <f t="shared" si="6"/>
        <v>23</v>
      </c>
    </row>
    <row r="451" spans="1:12" x14ac:dyDescent="0.3">
      <c r="A451" t="s">
        <v>75</v>
      </c>
      <c r="B451">
        <v>10</v>
      </c>
      <c r="C451">
        <v>4</v>
      </c>
      <c r="D451" t="s">
        <v>21</v>
      </c>
      <c r="E451" t="s">
        <v>22</v>
      </c>
      <c r="F451">
        <v>3</v>
      </c>
      <c r="G451">
        <v>57</v>
      </c>
      <c r="H451">
        <v>35.762</v>
      </c>
      <c r="I451">
        <v>2</v>
      </c>
      <c r="J451" t="s">
        <v>14</v>
      </c>
      <c r="K451" s="1">
        <v>9.5351851851851847E-4</v>
      </c>
      <c r="L451">
        <f t="shared" si="6"/>
        <v>23</v>
      </c>
    </row>
    <row r="452" spans="1:12" x14ac:dyDescent="0.3">
      <c r="A452" t="s">
        <v>75</v>
      </c>
      <c r="B452">
        <v>11</v>
      </c>
      <c r="C452">
        <v>77</v>
      </c>
      <c r="D452" t="s">
        <v>42</v>
      </c>
      <c r="E452" t="s">
        <v>29</v>
      </c>
      <c r="F452">
        <v>13</v>
      </c>
      <c r="G452">
        <v>57</v>
      </c>
      <c r="H452">
        <v>50.243000000000002</v>
      </c>
      <c r="I452">
        <v>0</v>
      </c>
      <c r="J452" t="s">
        <v>2</v>
      </c>
      <c r="K452" s="1">
        <v>9.8996527777777776E-4</v>
      </c>
      <c r="L452">
        <f t="shared" si="6"/>
        <v>23</v>
      </c>
    </row>
    <row r="453" spans="1:12" x14ac:dyDescent="0.3">
      <c r="A453" t="s">
        <v>75</v>
      </c>
      <c r="B453">
        <v>12</v>
      </c>
      <c r="C453">
        <v>44</v>
      </c>
      <c r="D453" t="s">
        <v>23</v>
      </c>
      <c r="E453" t="s">
        <v>20</v>
      </c>
      <c r="F453">
        <v>6</v>
      </c>
      <c r="G453">
        <v>57</v>
      </c>
      <c r="H453">
        <v>56.122</v>
      </c>
      <c r="I453">
        <v>0</v>
      </c>
      <c r="J453" t="s">
        <v>2</v>
      </c>
      <c r="K453" s="1">
        <v>9.7065972222222215E-4</v>
      </c>
      <c r="L453">
        <f t="shared" si="6"/>
        <v>23</v>
      </c>
    </row>
    <row r="454" spans="1:12" x14ac:dyDescent="0.3">
      <c r="A454" t="s">
        <v>75</v>
      </c>
      <c r="B454">
        <v>13</v>
      </c>
      <c r="C454">
        <v>22</v>
      </c>
      <c r="D454" t="s">
        <v>35</v>
      </c>
      <c r="E454" t="s">
        <v>34</v>
      </c>
      <c r="F454">
        <v>14</v>
      </c>
      <c r="G454">
        <v>57</v>
      </c>
      <c r="H454">
        <v>61.1</v>
      </c>
      <c r="I454">
        <v>0</v>
      </c>
      <c r="J454" t="s">
        <v>2</v>
      </c>
      <c r="K454" s="1">
        <v>9.9703703703703716E-4</v>
      </c>
      <c r="L454">
        <f t="shared" si="6"/>
        <v>23</v>
      </c>
    </row>
    <row r="455" spans="1:12" x14ac:dyDescent="0.3">
      <c r="A455" t="s">
        <v>75</v>
      </c>
      <c r="B455">
        <v>14</v>
      </c>
      <c r="C455">
        <v>30</v>
      </c>
      <c r="D455" t="s">
        <v>70</v>
      </c>
      <c r="E455" t="s">
        <v>34</v>
      </c>
      <c r="F455">
        <v>17</v>
      </c>
      <c r="G455">
        <v>57</v>
      </c>
      <c r="H455">
        <v>62.655999999999999</v>
      </c>
      <c r="I455">
        <v>0</v>
      </c>
      <c r="J455" t="s">
        <v>2</v>
      </c>
      <c r="K455" s="1">
        <v>9.9624999999999996E-4</v>
      </c>
      <c r="L455">
        <f t="shared" si="6"/>
        <v>23</v>
      </c>
    </row>
    <row r="456" spans="1:12" x14ac:dyDescent="0.3">
      <c r="A456" t="s">
        <v>75</v>
      </c>
      <c r="B456">
        <v>15</v>
      </c>
      <c r="C456">
        <v>23</v>
      </c>
      <c r="D456" t="s">
        <v>36</v>
      </c>
      <c r="E456" t="s">
        <v>37</v>
      </c>
      <c r="F456">
        <v>16</v>
      </c>
      <c r="G456">
        <v>56</v>
      </c>
      <c r="H456" t="s">
        <v>30</v>
      </c>
      <c r="I456">
        <v>0</v>
      </c>
      <c r="J456" t="s">
        <v>2</v>
      </c>
      <c r="K456" s="1">
        <v>9.9026620370370371E-4</v>
      </c>
      <c r="L456">
        <f t="shared" si="6"/>
        <v>23</v>
      </c>
    </row>
    <row r="457" spans="1:12" x14ac:dyDescent="0.3">
      <c r="A457" t="s">
        <v>75</v>
      </c>
      <c r="B457" t="s">
        <v>47</v>
      </c>
      <c r="C457">
        <v>27</v>
      </c>
      <c r="D457" t="s">
        <v>38</v>
      </c>
      <c r="E457" t="s">
        <v>32</v>
      </c>
      <c r="F457">
        <v>18</v>
      </c>
      <c r="G457">
        <v>39</v>
      </c>
      <c r="H457" t="s">
        <v>48</v>
      </c>
      <c r="I457">
        <v>0</v>
      </c>
      <c r="J457" t="s">
        <v>2</v>
      </c>
      <c r="K457" s="1">
        <v>9.9267361111111106E-4</v>
      </c>
      <c r="L457">
        <f t="shared" si="6"/>
        <v>23</v>
      </c>
    </row>
    <row r="458" spans="1:12" x14ac:dyDescent="0.3">
      <c r="A458" t="s">
        <v>75</v>
      </c>
      <c r="B458" t="s">
        <v>47</v>
      </c>
      <c r="C458">
        <v>11</v>
      </c>
      <c r="D458" t="s">
        <v>15</v>
      </c>
      <c r="E458" t="s">
        <v>13</v>
      </c>
      <c r="F458">
        <v>9</v>
      </c>
      <c r="G458">
        <v>38</v>
      </c>
      <c r="H458" t="s">
        <v>48</v>
      </c>
      <c r="I458">
        <v>0</v>
      </c>
      <c r="J458" t="s">
        <v>2</v>
      </c>
      <c r="K458" s="1">
        <v>9.8712962962962968E-4</v>
      </c>
      <c r="L458">
        <f t="shared" si="6"/>
        <v>23</v>
      </c>
    </row>
    <row r="459" spans="1:12" x14ac:dyDescent="0.3">
      <c r="A459" t="s">
        <v>75</v>
      </c>
      <c r="B459" t="s">
        <v>47</v>
      </c>
      <c r="C459">
        <v>18</v>
      </c>
      <c r="D459" t="s">
        <v>27</v>
      </c>
      <c r="E459" t="s">
        <v>26</v>
      </c>
      <c r="F459">
        <v>15</v>
      </c>
      <c r="G459">
        <v>8</v>
      </c>
      <c r="H459" t="s">
        <v>48</v>
      </c>
      <c r="I459">
        <v>0</v>
      </c>
      <c r="J459" t="s">
        <v>2</v>
      </c>
      <c r="K459" s="1">
        <v>1.0524884259259259E-3</v>
      </c>
      <c r="L459">
        <f t="shared" si="6"/>
        <v>23</v>
      </c>
    </row>
    <row r="460" spans="1:12" x14ac:dyDescent="0.3">
      <c r="A460" t="s">
        <v>75</v>
      </c>
      <c r="B460" t="s">
        <v>47</v>
      </c>
      <c r="C460">
        <v>43</v>
      </c>
      <c r="D460" t="s">
        <v>66</v>
      </c>
      <c r="E460" t="s">
        <v>37</v>
      </c>
      <c r="F460">
        <v>19</v>
      </c>
      <c r="G460">
        <v>0</v>
      </c>
      <c r="H460" t="s">
        <v>48</v>
      </c>
      <c r="I460">
        <v>0</v>
      </c>
      <c r="J460" t="s">
        <v>2</v>
      </c>
      <c r="L460">
        <f t="shared" si="6"/>
        <v>23</v>
      </c>
    </row>
    <row r="461" spans="1:12" x14ac:dyDescent="0.3">
      <c r="A461" t="s">
        <v>75</v>
      </c>
      <c r="B461" t="s">
        <v>47</v>
      </c>
      <c r="C461">
        <v>31</v>
      </c>
      <c r="D461" t="s">
        <v>39</v>
      </c>
      <c r="E461" t="s">
        <v>40</v>
      </c>
      <c r="F461">
        <v>20</v>
      </c>
      <c r="G461">
        <v>0</v>
      </c>
      <c r="H461" t="s">
        <v>48</v>
      </c>
      <c r="I461">
        <v>0</v>
      </c>
      <c r="J461" t="s">
        <v>2</v>
      </c>
      <c r="L461">
        <f t="shared" si="6"/>
        <v>23</v>
      </c>
    </row>
    <row r="462" spans="1:12" x14ac:dyDescent="0.3">
      <c r="A462" t="s">
        <v>76</v>
      </c>
      <c r="B462">
        <v>1</v>
      </c>
      <c r="C462">
        <v>4</v>
      </c>
      <c r="D462" t="s">
        <v>21</v>
      </c>
      <c r="E462" t="s">
        <v>22</v>
      </c>
      <c r="F462">
        <v>1</v>
      </c>
      <c r="G462">
        <v>58</v>
      </c>
      <c r="H462" s="1">
        <v>6.0107534722222224E-2</v>
      </c>
      <c r="I462">
        <v>25</v>
      </c>
      <c r="J462" t="s">
        <v>2</v>
      </c>
      <c r="K462" s="1">
        <v>1.0120138888888889E-3</v>
      </c>
      <c r="L462">
        <f t="shared" si="6"/>
        <v>24</v>
      </c>
    </row>
    <row r="463" spans="1:12" x14ac:dyDescent="0.3">
      <c r="A463" t="s">
        <v>76</v>
      </c>
      <c r="B463">
        <v>2</v>
      </c>
      <c r="C463">
        <v>55</v>
      </c>
      <c r="D463" t="s">
        <v>16</v>
      </c>
      <c r="E463" t="s">
        <v>17</v>
      </c>
      <c r="F463">
        <v>3</v>
      </c>
      <c r="G463">
        <v>58</v>
      </c>
      <c r="H463">
        <v>5.8319999999999999</v>
      </c>
      <c r="I463">
        <v>18</v>
      </c>
      <c r="J463" t="s">
        <v>2</v>
      </c>
      <c r="K463" s="1">
        <v>1.0157986111111112E-3</v>
      </c>
      <c r="L463">
        <f t="shared" si="6"/>
        <v>24</v>
      </c>
    </row>
    <row r="464" spans="1:12" x14ac:dyDescent="0.3">
      <c r="A464" t="s">
        <v>76</v>
      </c>
      <c r="B464">
        <v>3</v>
      </c>
      <c r="C464">
        <v>16</v>
      </c>
      <c r="D464" t="s">
        <v>18</v>
      </c>
      <c r="E464" t="s">
        <v>17</v>
      </c>
      <c r="F464">
        <v>19</v>
      </c>
      <c r="G464">
        <v>58</v>
      </c>
      <c r="H464">
        <v>31.928000000000001</v>
      </c>
      <c r="I464">
        <v>15</v>
      </c>
      <c r="J464" t="s">
        <v>2</v>
      </c>
      <c r="K464" s="1">
        <v>1.0187268518518518E-3</v>
      </c>
      <c r="L464">
        <f t="shared" si="6"/>
        <v>24</v>
      </c>
    </row>
    <row r="465" spans="1:12" x14ac:dyDescent="0.3">
      <c r="A465" t="s">
        <v>76</v>
      </c>
      <c r="B465">
        <v>4</v>
      </c>
      <c r="C465">
        <v>44</v>
      </c>
      <c r="D465" t="s">
        <v>23</v>
      </c>
      <c r="E465" t="s">
        <v>20</v>
      </c>
      <c r="F465">
        <v>16</v>
      </c>
      <c r="G465">
        <v>58</v>
      </c>
      <c r="H465">
        <v>36.482999999999997</v>
      </c>
      <c r="I465">
        <v>12</v>
      </c>
      <c r="J465" t="s">
        <v>2</v>
      </c>
      <c r="K465" s="1">
        <v>1.0101620370370368E-3</v>
      </c>
      <c r="L465">
        <f t="shared" si="6"/>
        <v>24</v>
      </c>
    </row>
    <row r="466" spans="1:12" x14ac:dyDescent="0.3">
      <c r="A466" t="s">
        <v>76</v>
      </c>
      <c r="B466">
        <v>5</v>
      </c>
      <c r="C466">
        <v>63</v>
      </c>
      <c r="D466" t="s">
        <v>19</v>
      </c>
      <c r="E466" t="s">
        <v>20</v>
      </c>
      <c r="F466">
        <v>6</v>
      </c>
      <c r="G466">
        <v>58</v>
      </c>
      <c r="H466">
        <v>37.537999999999997</v>
      </c>
      <c r="I466">
        <v>10</v>
      </c>
      <c r="J466" t="s">
        <v>2</v>
      </c>
      <c r="K466" s="1">
        <v>1.0207754629629629E-3</v>
      </c>
      <c r="L466">
        <f t="shared" si="6"/>
        <v>24</v>
      </c>
    </row>
    <row r="467" spans="1:12" x14ac:dyDescent="0.3">
      <c r="A467" t="s">
        <v>76</v>
      </c>
      <c r="B467">
        <v>6</v>
      </c>
      <c r="C467">
        <v>1</v>
      </c>
      <c r="D467" t="s">
        <v>12</v>
      </c>
      <c r="E467" t="s">
        <v>13</v>
      </c>
      <c r="F467">
        <v>4</v>
      </c>
      <c r="G467">
        <v>58</v>
      </c>
      <c r="H467">
        <v>49.847000000000001</v>
      </c>
      <c r="I467">
        <v>8</v>
      </c>
      <c r="J467" t="s">
        <v>2</v>
      </c>
      <c r="K467" s="1">
        <v>1.0157986111111112E-3</v>
      </c>
      <c r="L467">
        <f t="shared" si="6"/>
        <v>24</v>
      </c>
    </row>
    <row r="468" spans="1:12" x14ac:dyDescent="0.3">
      <c r="A468" t="s">
        <v>76</v>
      </c>
      <c r="B468">
        <v>7</v>
      </c>
      <c r="C468">
        <v>10</v>
      </c>
      <c r="D468" t="s">
        <v>41</v>
      </c>
      <c r="E468" t="s">
        <v>40</v>
      </c>
      <c r="F468">
        <v>5</v>
      </c>
      <c r="G468">
        <v>58</v>
      </c>
      <c r="H468">
        <v>72.56</v>
      </c>
      <c r="I468">
        <v>6</v>
      </c>
      <c r="J468" t="s">
        <v>2</v>
      </c>
      <c r="K468" s="1">
        <v>1.0329976851851852E-3</v>
      </c>
      <c r="L468">
        <f t="shared" si="6"/>
        <v>24</v>
      </c>
    </row>
    <row r="469" spans="1:12" x14ac:dyDescent="0.3">
      <c r="A469" t="s">
        <v>76</v>
      </c>
      <c r="B469">
        <v>8</v>
      </c>
      <c r="C469">
        <v>27</v>
      </c>
      <c r="D469" t="s">
        <v>38</v>
      </c>
      <c r="E469" t="s">
        <v>32</v>
      </c>
      <c r="F469">
        <v>7</v>
      </c>
      <c r="G469">
        <v>58</v>
      </c>
      <c r="H469">
        <v>75.554000000000002</v>
      </c>
      <c r="I469">
        <v>4</v>
      </c>
      <c r="J469" t="s">
        <v>2</v>
      </c>
      <c r="K469" s="1">
        <v>1.0318518518518519E-3</v>
      </c>
      <c r="L469">
        <f t="shared" si="6"/>
        <v>24</v>
      </c>
    </row>
    <row r="470" spans="1:12" x14ac:dyDescent="0.3">
      <c r="A470" t="s">
        <v>76</v>
      </c>
      <c r="B470">
        <v>9</v>
      </c>
      <c r="C470">
        <v>14</v>
      </c>
      <c r="D470" t="s">
        <v>25</v>
      </c>
      <c r="E470" t="s">
        <v>26</v>
      </c>
      <c r="F470">
        <v>8</v>
      </c>
      <c r="G470">
        <v>58</v>
      </c>
      <c r="H470">
        <v>82.373000000000005</v>
      </c>
      <c r="I470">
        <v>2</v>
      </c>
      <c r="J470" t="s">
        <v>2</v>
      </c>
      <c r="K470" s="1">
        <v>1.0179166666666668E-3</v>
      </c>
      <c r="L470">
        <f t="shared" si="6"/>
        <v>24</v>
      </c>
    </row>
    <row r="471" spans="1:12" x14ac:dyDescent="0.3">
      <c r="A471" t="s">
        <v>76</v>
      </c>
      <c r="B471">
        <v>10</v>
      </c>
      <c r="C471">
        <v>81</v>
      </c>
      <c r="D471" t="s">
        <v>24</v>
      </c>
      <c r="E471" t="s">
        <v>22</v>
      </c>
      <c r="F471">
        <v>2</v>
      </c>
      <c r="G471">
        <v>58</v>
      </c>
      <c r="H471">
        <v>83.820999999999998</v>
      </c>
      <c r="I471">
        <v>1</v>
      </c>
      <c r="J471" t="s">
        <v>2</v>
      </c>
      <c r="K471" s="1">
        <v>1.0149305555555556E-3</v>
      </c>
      <c r="L471">
        <f t="shared" ref="L471:L481" si="7">L451+1</f>
        <v>24</v>
      </c>
    </row>
    <row r="472" spans="1:12" x14ac:dyDescent="0.3">
      <c r="A472" t="s">
        <v>76</v>
      </c>
      <c r="B472">
        <v>11</v>
      </c>
      <c r="C472">
        <v>23</v>
      </c>
      <c r="D472" t="s">
        <v>36</v>
      </c>
      <c r="E472" t="s">
        <v>37</v>
      </c>
      <c r="F472">
        <v>18</v>
      </c>
      <c r="G472">
        <v>57</v>
      </c>
      <c r="H472" t="s">
        <v>30</v>
      </c>
      <c r="I472">
        <v>0</v>
      </c>
      <c r="J472" t="s">
        <v>2</v>
      </c>
      <c r="K472" s="1">
        <v>1.0351620370370371E-3</v>
      </c>
      <c r="L472">
        <f t="shared" si="7"/>
        <v>24</v>
      </c>
    </row>
    <row r="473" spans="1:12" x14ac:dyDescent="0.3">
      <c r="A473" t="s">
        <v>76</v>
      </c>
      <c r="B473">
        <v>12</v>
      </c>
      <c r="C473">
        <v>22</v>
      </c>
      <c r="D473" t="s">
        <v>35</v>
      </c>
      <c r="E473" t="s">
        <v>34</v>
      </c>
      <c r="F473">
        <v>11</v>
      </c>
      <c r="G473">
        <v>57</v>
      </c>
      <c r="H473" t="s">
        <v>30</v>
      </c>
      <c r="I473">
        <v>0</v>
      </c>
      <c r="J473" t="s">
        <v>2</v>
      </c>
      <c r="K473" s="1">
        <v>1.0324074074074074E-3</v>
      </c>
      <c r="L473">
        <f t="shared" si="7"/>
        <v>24</v>
      </c>
    </row>
    <row r="474" spans="1:12" x14ac:dyDescent="0.3">
      <c r="A474" t="s">
        <v>76</v>
      </c>
      <c r="B474">
        <v>13</v>
      </c>
      <c r="C474">
        <v>24</v>
      </c>
      <c r="D474" t="s">
        <v>28</v>
      </c>
      <c r="E474" t="s">
        <v>29</v>
      </c>
      <c r="F474">
        <v>15</v>
      </c>
      <c r="G474">
        <v>57</v>
      </c>
      <c r="H474" t="s">
        <v>30</v>
      </c>
      <c r="I474">
        <v>0</v>
      </c>
      <c r="J474" t="s">
        <v>2</v>
      </c>
      <c r="K474" s="1">
        <v>1.0183101851851852E-3</v>
      </c>
      <c r="L474">
        <f t="shared" si="7"/>
        <v>24</v>
      </c>
    </row>
    <row r="475" spans="1:12" x14ac:dyDescent="0.3">
      <c r="A475" t="s">
        <v>76</v>
      </c>
      <c r="B475">
        <v>14</v>
      </c>
      <c r="C475">
        <v>18</v>
      </c>
      <c r="D475" t="s">
        <v>27</v>
      </c>
      <c r="E475" t="s">
        <v>26</v>
      </c>
      <c r="F475">
        <v>13</v>
      </c>
      <c r="G475">
        <v>57</v>
      </c>
      <c r="H475" t="s">
        <v>30</v>
      </c>
      <c r="I475">
        <v>0</v>
      </c>
      <c r="J475" t="s">
        <v>2</v>
      </c>
      <c r="K475" s="1">
        <v>1.0255092592592592E-3</v>
      </c>
      <c r="L475">
        <f t="shared" si="7"/>
        <v>24</v>
      </c>
    </row>
    <row r="476" spans="1:12" x14ac:dyDescent="0.3">
      <c r="A476" t="s">
        <v>76</v>
      </c>
      <c r="B476">
        <v>15</v>
      </c>
      <c r="C476">
        <v>61</v>
      </c>
      <c r="D476" t="s">
        <v>77</v>
      </c>
      <c r="E476" t="s">
        <v>40</v>
      </c>
      <c r="F476">
        <v>17</v>
      </c>
      <c r="G476">
        <v>57</v>
      </c>
      <c r="H476" t="s">
        <v>30</v>
      </c>
      <c r="I476">
        <v>0</v>
      </c>
      <c r="J476" t="s">
        <v>2</v>
      </c>
      <c r="K476" s="1">
        <v>1.0314930555555555E-3</v>
      </c>
      <c r="L476">
        <f t="shared" si="7"/>
        <v>24</v>
      </c>
    </row>
    <row r="477" spans="1:12" x14ac:dyDescent="0.3">
      <c r="A477" t="s">
        <v>76</v>
      </c>
      <c r="B477">
        <v>16</v>
      </c>
      <c r="C477">
        <v>20</v>
      </c>
      <c r="D477" t="s">
        <v>31</v>
      </c>
      <c r="E477" t="s">
        <v>32</v>
      </c>
      <c r="F477">
        <v>14</v>
      </c>
      <c r="G477">
        <v>57</v>
      </c>
      <c r="H477" t="s">
        <v>30</v>
      </c>
      <c r="I477">
        <v>0</v>
      </c>
      <c r="J477" t="s">
        <v>14</v>
      </c>
      <c r="K477" s="1">
        <v>9.9116898148148154E-4</v>
      </c>
      <c r="L477">
        <f t="shared" si="7"/>
        <v>24</v>
      </c>
    </row>
    <row r="478" spans="1:12" x14ac:dyDescent="0.3">
      <c r="A478" t="s">
        <v>76</v>
      </c>
      <c r="B478">
        <v>17</v>
      </c>
      <c r="C478">
        <v>30</v>
      </c>
      <c r="D478" t="s">
        <v>70</v>
      </c>
      <c r="E478" t="s">
        <v>34</v>
      </c>
      <c r="F478">
        <v>12</v>
      </c>
      <c r="G478">
        <v>55</v>
      </c>
      <c r="H478" t="s">
        <v>48</v>
      </c>
      <c r="I478">
        <v>0</v>
      </c>
      <c r="J478" t="s">
        <v>2</v>
      </c>
      <c r="K478" s="1">
        <v>1.0272106481481482E-3</v>
      </c>
      <c r="L478">
        <f t="shared" si="7"/>
        <v>24</v>
      </c>
    </row>
    <row r="479" spans="1:12" x14ac:dyDescent="0.3">
      <c r="A479" t="s">
        <v>76</v>
      </c>
      <c r="B479" t="s">
        <v>47</v>
      </c>
      <c r="C479">
        <v>77</v>
      </c>
      <c r="D479" t="s">
        <v>42</v>
      </c>
      <c r="E479" t="s">
        <v>29</v>
      </c>
      <c r="F479">
        <v>9</v>
      </c>
      <c r="G479">
        <v>30</v>
      </c>
      <c r="H479" t="s">
        <v>48</v>
      </c>
      <c r="I479">
        <v>0</v>
      </c>
      <c r="J479" t="s">
        <v>2</v>
      </c>
      <c r="K479" s="1">
        <v>1.0356712962962963E-3</v>
      </c>
      <c r="L479">
        <f t="shared" si="7"/>
        <v>24</v>
      </c>
    </row>
    <row r="480" spans="1:12" x14ac:dyDescent="0.3">
      <c r="A480" t="s">
        <v>76</v>
      </c>
      <c r="B480" t="s">
        <v>47</v>
      </c>
      <c r="C480">
        <v>43</v>
      </c>
      <c r="D480" t="s">
        <v>66</v>
      </c>
      <c r="E480" t="s">
        <v>37</v>
      </c>
      <c r="F480">
        <v>20</v>
      </c>
      <c r="G480">
        <v>26</v>
      </c>
      <c r="H480" t="s">
        <v>48</v>
      </c>
      <c r="I480">
        <v>0</v>
      </c>
      <c r="J480" t="s">
        <v>2</v>
      </c>
      <c r="K480" s="1">
        <v>1.034849537037037E-3</v>
      </c>
      <c r="L480">
        <f t="shared" si="7"/>
        <v>24</v>
      </c>
    </row>
    <row r="481" spans="1:12" x14ac:dyDescent="0.3">
      <c r="A481" t="s">
        <v>76</v>
      </c>
      <c r="B481" t="s">
        <v>47</v>
      </c>
      <c r="C481">
        <v>11</v>
      </c>
      <c r="D481" t="s">
        <v>15</v>
      </c>
      <c r="E481" t="s">
        <v>13</v>
      </c>
      <c r="F481">
        <v>10</v>
      </c>
      <c r="G481">
        <v>0</v>
      </c>
      <c r="H481" t="s">
        <v>48</v>
      </c>
      <c r="I481">
        <v>0</v>
      </c>
      <c r="J481" t="s">
        <v>2</v>
      </c>
      <c r="L481">
        <f t="shared" si="7"/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8213-C9F0-40B4-B951-3172CDCA478C}">
  <sheetPr filterMode="1"/>
  <dimension ref="A1:I121"/>
  <sheetViews>
    <sheetView workbookViewId="0">
      <selection activeCell="I1" sqref="I1:I1048576"/>
    </sheetView>
  </sheetViews>
  <sheetFormatPr defaultRowHeight="14.4" x14ac:dyDescent="0.3"/>
  <cols>
    <col min="4" max="4" width="16.44140625" bestFit="1" customWidth="1"/>
    <col min="5" max="5" width="28.88671875" bestFit="1" customWidth="1"/>
    <col min="6" max="6" width="14.109375" bestFit="1" customWidth="1"/>
    <col min="8" max="8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51</v>
      </c>
      <c r="B2">
        <v>1</v>
      </c>
      <c r="C2">
        <v>1</v>
      </c>
      <c r="D2" t="s">
        <v>12</v>
      </c>
      <c r="E2" t="s">
        <v>13</v>
      </c>
      <c r="F2">
        <v>4</v>
      </c>
      <c r="G2">
        <v>19</v>
      </c>
      <c r="H2" s="1">
        <v>2.2276157407407408E-2</v>
      </c>
      <c r="I2">
        <v>8</v>
      </c>
    </row>
    <row r="3" spans="1:9" hidden="1" x14ac:dyDescent="0.3">
      <c r="A3" t="s">
        <v>51</v>
      </c>
      <c r="B3">
        <v>2</v>
      </c>
      <c r="C3">
        <v>44</v>
      </c>
      <c r="D3" t="s">
        <v>23</v>
      </c>
      <c r="E3" t="s">
        <v>20</v>
      </c>
      <c r="F3">
        <v>2</v>
      </c>
      <c r="G3">
        <v>19</v>
      </c>
      <c r="H3">
        <v>13.042999999999999</v>
      </c>
      <c r="I3">
        <v>7</v>
      </c>
    </row>
    <row r="4" spans="1:9" x14ac:dyDescent="0.3">
      <c r="A4" t="s">
        <v>51</v>
      </c>
      <c r="B4">
        <v>3</v>
      </c>
      <c r="C4">
        <v>11</v>
      </c>
      <c r="D4" t="s">
        <v>15</v>
      </c>
      <c r="E4" t="s">
        <v>13</v>
      </c>
      <c r="F4">
        <v>6</v>
      </c>
      <c r="G4">
        <v>19</v>
      </c>
      <c r="H4">
        <v>15.257999999999999</v>
      </c>
      <c r="I4">
        <v>6</v>
      </c>
    </row>
    <row r="5" spans="1:9" hidden="1" x14ac:dyDescent="0.3">
      <c r="A5" t="s">
        <v>51</v>
      </c>
      <c r="B5">
        <v>4</v>
      </c>
      <c r="C5">
        <v>16</v>
      </c>
      <c r="D5" t="s">
        <v>18</v>
      </c>
      <c r="E5" t="s">
        <v>17</v>
      </c>
      <c r="F5">
        <v>7</v>
      </c>
      <c r="G5">
        <v>19</v>
      </c>
      <c r="H5">
        <v>17.486000000000001</v>
      </c>
      <c r="I5">
        <v>5</v>
      </c>
    </row>
    <row r="6" spans="1:9" hidden="1" x14ac:dyDescent="0.3">
      <c r="A6" t="s">
        <v>51</v>
      </c>
      <c r="B6">
        <v>5</v>
      </c>
      <c r="C6">
        <v>55</v>
      </c>
      <c r="D6" t="s">
        <v>16</v>
      </c>
      <c r="E6" t="s">
        <v>17</v>
      </c>
      <c r="F6">
        <v>5</v>
      </c>
      <c r="G6">
        <v>19</v>
      </c>
      <c r="H6">
        <v>20.696000000000002</v>
      </c>
      <c r="I6">
        <v>4</v>
      </c>
    </row>
    <row r="7" spans="1:9" hidden="1" x14ac:dyDescent="0.3">
      <c r="A7" t="s">
        <v>51</v>
      </c>
      <c r="B7">
        <v>6</v>
      </c>
      <c r="C7">
        <v>4</v>
      </c>
      <c r="D7" t="s">
        <v>21</v>
      </c>
      <c r="E7" t="s">
        <v>22</v>
      </c>
      <c r="F7">
        <v>1</v>
      </c>
      <c r="G7">
        <v>19</v>
      </c>
      <c r="H7">
        <v>22.088000000000001</v>
      </c>
      <c r="I7">
        <v>3</v>
      </c>
    </row>
    <row r="8" spans="1:9" hidden="1" x14ac:dyDescent="0.3">
      <c r="A8" t="s">
        <v>51</v>
      </c>
      <c r="B8">
        <v>7</v>
      </c>
      <c r="C8">
        <v>81</v>
      </c>
      <c r="D8" t="s">
        <v>24</v>
      </c>
      <c r="E8" t="s">
        <v>22</v>
      </c>
      <c r="F8">
        <v>8</v>
      </c>
      <c r="G8">
        <v>19</v>
      </c>
      <c r="H8">
        <v>24.713000000000001</v>
      </c>
      <c r="I8">
        <v>2</v>
      </c>
    </row>
    <row r="9" spans="1:9" hidden="1" x14ac:dyDescent="0.3">
      <c r="A9" t="s">
        <v>51</v>
      </c>
      <c r="B9">
        <v>8</v>
      </c>
      <c r="C9">
        <v>63</v>
      </c>
      <c r="D9" t="s">
        <v>19</v>
      </c>
      <c r="E9" t="s">
        <v>20</v>
      </c>
      <c r="F9">
        <v>11</v>
      </c>
      <c r="G9">
        <v>19</v>
      </c>
      <c r="H9">
        <v>25.696000000000002</v>
      </c>
      <c r="I9">
        <v>1</v>
      </c>
    </row>
    <row r="10" spans="1:9" hidden="1" x14ac:dyDescent="0.3">
      <c r="A10" t="s">
        <v>51</v>
      </c>
      <c r="B10">
        <v>9</v>
      </c>
      <c r="C10">
        <v>24</v>
      </c>
      <c r="D10" t="s">
        <v>28</v>
      </c>
      <c r="E10" t="s">
        <v>29</v>
      </c>
      <c r="F10">
        <v>10</v>
      </c>
      <c r="G10">
        <v>19</v>
      </c>
      <c r="H10">
        <v>31.951000000000001</v>
      </c>
      <c r="I10">
        <v>0</v>
      </c>
    </row>
    <row r="11" spans="1:9" hidden="1" x14ac:dyDescent="0.3">
      <c r="A11" t="s">
        <v>51</v>
      </c>
      <c r="B11">
        <v>10</v>
      </c>
      <c r="C11">
        <v>20</v>
      </c>
      <c r="D11" t="s">
        <v>31</v>
      </c>
      <c r="E11" t="s">
        <v>32</v>
      </c>
      <c r="F11">
        <v>12</v>
      </c>
      <c r="G11">
        <v>19</v>
      </c>
      <c r="H11">
        <v>37.398000000000003</v>
      </c>
      <c r="I11">
        <v>0</v>
      </c>
    </row>
    <row r="12" spans="1:9" hidden="1" x14ac:dyDescent="0.3">
      <c r="A12" t="s">
        <v>51</v>
      </c>
      <c r="B12">
        <v>11</v>
      </c>
      <c r="C12">
        <v>3</v>
      </c>
      <c r="D12" t="s">
        <v>33</v>
      </c>
      <c r="E12" t="s">
        <v>34</v>
      </c>
      <c r="F12">
        <v>14</v>
      </c>
      <c r="G12">
        <v>19</v>
      </c>
      <c r="H12">
        <v>37.840000000000003</v>
      </c>
      <c r="I12">
        <v>0</v>
      </c>
    </row>
    <row r="13" spans="1:9" hidden="1" x14ac:dyDescent="0.3">
      <c r="A13" t="s">
        <v>51</v>
      </c>
      <c r="B13">
        <v>12</v>
      </c>
      <c r="C13">
        <v>77</v>
      </c>
      <c r="D13" t="s">
        <v>42</v>
      </c>
      <c r="E13" t="s">
        <v>29</v>
      </c>
      <c r="F13">
        <v>9</v>
      </c>
      <c r="G13">
        <v>19</v>
      </c>
      <c r="H13">
        <v>38.295000000000002</v>
      </c>
      <c r="I13">
        <v>0</v>
      </c>
    </row>
    <row r="14" spans="1:9" hidden="1" x14ac:dyDescent="0.3">
      <c r="A14" t="s">
        <v>51</v>
      </c>
      <c r="B14">
        <v>13</v>
      </c>
      <c r="C14">
        <v>31</v>
      </c>
      <c r="D14" t="s">
        <v>39</v>
      </c>
      <c r="E14" t="s">
        <v>40</v>
      </c>
      <c r="F14">
        <v>17</v>
      </c>
      <c r="G14">
        <v>19</v>
      </c>
      <c r="H14">
        <v>39.841000000000001</v>
      </c>
      <c r="I14">
        <v>0</v>
      </c>
    </row>
    <row r="15" spans="1:9" hidden="1" x14ac:dyDescent="0.3">
      <c r="A15" t="s">
        <v>51</v>
      </c>
      <c r="B15">
        <v>14</v>
      </c>
      <c r="C15">
        <v>18</v>
      </c>
      <c r="D15" t="s">
        <v>27</v>
      </c>
      <c r="E15" t="s">
        <v>26</v>
      </c>
      <c r="F15">
        <v>15</v>
      </c>
      <c r="G15">
        <v>19</v>
      </c>
      <c r="H15">
        <v>40.298999999999999</v>
      </c>
      <c r="I15">
        <v>0</v>
      </c>
    </row>
    <row r="16" spans="1:9" hidden="1" x14ac:dyDescent="0.3">
      <c r="A16" t="s">
        <v>51</v>
      </c>
      <c r="B16">
        <v>15</v>
      </c>
      <c r="C16">
        <v>10</v>
      </c>
      <c r="D16" t="s">
        <v>41</v>
      </c>
      <c r="E16" t="s">
        <v>40</v>
      </c>
      <c r="F16">
        <v>16</v>
      </c>
      <c r="G16">
        <v>19</v>
      </c>
      <c r="H16">
        <v>40.838000000000001</v>
      </c>
      <c r="I16">
        <v>0</v>
      </c>
    </row>
    <row r="17" spans="1:9" hidden="1" x14ac:dyDescent="0.3">
      <c r="A17" t="s">
        <v>51</v>
      </c>
      <c r="B17">
        <v>16</v>
      </c>
      <c r="C17">
        <v>22</v>
      </c>
      <c r="D17" t="s">
        <v>35</v>
      </c>
      <c r="E17" t="s">
        <v>34</v>
      </c>
      <c r="F17">
        <v>19</v>
      </c>
      <c r="G17">
        <v>19</v>
      </c>
      <c r="H17">
        <v>41.87</v>
      </c>
      <c r="I17">
        <v>0</v>
      </c>
    </row>
    <row r="18" spans="1:9" hidden="1" x14ac:dyDescent="0.3">
      <c r="A18" t="s">
        <v>51</v>
      </c>
      <c r="B18">
        <v>17</v>
      </c>
      <c r="C18">
        <v>23</v>
      </c>
      <c r="D18" t="s">
        <v>36</v>
      </c>
      <c r="E18" t="s">
        <v>37</v>
      </c>
      <c r="F18">
        <v>18</v>
      </c>
      <c r="G18">
        <v>19</v>
      </c>
      <c r="H18">
        <v>42.997999999999998</v>
      </c>
      <c r="I18">
        <v>0</v>
      </c>
    </row>
    <row r="19" spans="1:9" hidden="1" x14ac:dyDescent="0.3">
      <c r="A19" t="s">
        <v>51</v>
      </c>
      <c r="B19">
        <v>18</v>
      </c>
      <c r="C19">
        <v>2</v>
      </c>
      <c r="D19" t="s">
        <v>43</v>
      </c>
      <c r="E19" t="s">
        <v>37</v>
      </c>
      <c r="F19">
        <v>20</v>
      </c>
      <c r="G19">
        <v>19</v>
      </c>
      <c r="H19">
        <v>46.351999999999997</v>
      </c>
      <c r="I19">
        <v>0</v>
      </c>
    </row>
    <row r="20" spans="1:9" hidden="1" x14ac:dyDescent="0.3">
      <c r="A20" t="s">
        <v>51</v>
      </c>
      <c r="B20">
        <v>19</v>
      </c>
      <c r="C20">
        <v>27</v>
      </c>
      <c r="D20" t="s">
        <v>38</v>
      </c>
      <c r="E20" t="s">
        <v>32</v>
      </c>
      <c r="F20">
        <v>13</v>
      </c>
      <c r="G20">
        <v>19</v>
      </c>
      <c r="H20">
        <v>49.63</v>
      </c>
      <c r="I20">
        <v>0</v>
      </c>
    </row>
    <row r="21" spans="1:9" hidden="1" x14ac:dyDescent="0.3">
      <c r="A21" t="s">
        <v>51</v>
      </c>
      <c r="B21">
        <v>20</v>
      </c>
      <c r="C21">
        <v>14</v>
      </c>
      <c r="D21" t="s">
        <v>25</v>
      </c>
      <c r="E21" t="s">
        <v>26</v>
      </c>
      <c r="F21">
        <v>3</v>
      </c>
      <c r="G21">
        <v>17</v>
      </c>
      <c r="H21" t="s">
        <v>48</v>
      </c>
      <c r="I21">
        <v>0</v>
      </c>
    </row>
    <row r="22" spans="1:9" x14ac:dyDescent="0.3">
      <c r="A22" t="s">
        <v>52</v>
      </c>
      <c r="B22">
        <v>1</v>
      </c>
      <c r="C22">
        <v>1</v>
      </c>
      <c r="D22" t="s">
        <v>12</v>
      </c>
      <c r="E22" t="s">
        <v>13</v>
      </c>
      <c r="F22">
        <v>1</v>
      </c>
      <c r="G22">
        <v>19</v>
      </c>
      <c r="H22" s="1">
        <v>2.1891006944444444E-2</v>
      </c>
      <c r="I22">
        <v>8</v>
      </c>
    </row>
    <row r="23" spans="1:9" hidden="1" x14ac:dyDescent="0.3">
      <c r="A23" t="s">
        <v>52</v>
      </c>
      <c r="B23">
        <v>2</v>
      </c>
      <c r="C23">
        <v>16</v>
      </c>
      <c r="D23" t="s">
        <v>18</v>
      </c>
      <c r="E23" t="s">
        <v>17</v>
      </c>
      <c r="F23">
        <v>2</v>
      </c>
      <c r="G23">
        <v>19</v>
      </c>
      <c r="H23">
        <v>3.371</v>
      </c>
      <c r="I23">
        <v>7</v>
      </c>
    </row>
    <row r="24" spans="1:9" x14ac:dyDescent="0.3">
      <c r="A24" t="s">
        <v>52</v>
      </c>
      <c r="B24">
        <v>3</v>
      </c>
      <c r="C24">
        <v>11</v>
      </c>
      <c r="D24" t="s">
        <v>15</v>
      </c>
      <c r="E24" t="s">
        <v>13</v>
      </c>
      <c r="F24">
        <v>3</v>
      </c>
      <c r="G24">
        <v>19</v>
      </c>
      <c r="H24">
        <v>5.0949999999999998</v>
      </c>
      <c r="I24">
        <v>6</v>
      </c>
    </row>
    <row r="25" spans="1:9" hidden="1" x14ac:dyDescent="0.3">
      <c r="A25" t="s">
        <v>52</v>
      </c>
      <c r="B25">
        <v>4</v>
      </c>
      <c r="C25">
        <v>3</v>
      </c>
      <c r="D25" t="s">
        <v>33</v>
      </c>
      <c r="E25" t="s">
        <v>34</v>
      </c>
      <c r="F25">
        <v>4</v>
      </c>
      <c r="G25">
        <v>19</v>
      </c>
      <c r="H25">
        <v>14.971</v>
      </c>
      <c r="I25">
        <v>5</v>
      </c>
    </row>
    <row r="26" spans="1:9" hidden="1" x14ac:dyDescent="0.3">
      <c r="A26" t="s">
        <v>52</v>
      </c>
      <c r="B26">
        <v>5</v>
      </c>
      <c r="C26">
        <v>55</v>
      </c>
      <c r="D26" t="s">
        <v>16</v>
      </c>
      <c r="E26" t="s">
        <v>17</v>
      </c>
      <c r="F26">
        <v>5</v>
      </c>
      <c r="G26">
        <v>19</v>
      </c>
      <c r="H26">
        <v>15.222</v>
      </c>
      <c r="I26">
        <v>4</v>
      </c>
    </row>
    <row r="27" spans="1:9" hidden="1" x14ac:dyDescent="0.3">
      <c r="A27" t="s">
        <v>52</v>
      </c>
      <c r="B27">
        <v>6</v>
      </c>
      <c r="C27">
        <v>81</v>
      </c>
      <c r="D27" t="s">
        <v>24</v>
      </c>
      <c r="E27" t="s">
        <v>22</v>
      </c>
      <c r="F27">
        <v>6</v>
      </c>
      <c r="G27">
        <v>19</v>
      </c>
      <c r="H27">
        <v>15.75</v>
      </c>
      <c r="I27">
        <v>3</v>
      </c>
    </row>
    <row r="28" spans="1:9" hidden="1" x14ac:dyDescent="0.3">
      <c r="A28" t="s">
        <v>52</v>
      </c>
      <c r="B28">
        <v>7</v>
      </c>
      <c r="C28">
        <v>27</v>
      </c>
      <c r="D28" t="s">
        <v>38</v>
      </c>
      <c r="E28" t="s">
        <v>32</v>
      </c>
      <c r="F28">
        <v>10</v>
      </c>
      <c r="G28">
        <v>19</v>
      </c>
      <c r="H28">
        <v>22.053999999999998</v>
      </c>
      <c r="I28">
        <v>2</v>
      </c>
    </row>
    <row r="29" spans="1:9" hidden="1" x14ac:dyDescent="0.3">
      <c r="A29" t="s">
        <v>52</v>
      </c>
      <c r="B29">
        <v>8</v>
      </c>
      <c r="C29">
        <v>22</v>
      </c>
      <c r="D29" t="s">
        <v>35</v>
      </c>
      <c r="E29" t="s">
        <v>34</v>
      </c>
      <c r="F29">
        <v>15</v>
      </c>
      <c r="G29">
        <v>19</v>
      </c>
      <c r="H29">
        <v>29.815999999999999</v>
      </c>
      <c r="I29">
        <v>1</v>
      </c>
    </row>
    <row r="30" spans="1:9" hidden="1" x14ac:dyDescent="0.3">
      <c r="A30" t="s">
        <v>52</v>
      </c>
      <c r="B30">
        <v>9</v>
      </c>
      <c r="C30">
        <v>10</v>
      </c>
      <c r="D30" t="s">
        <v>41</v>
      </c>
      <c r="E30" t="s">
        <v>40</v>
      </c>
      <c r="F30">
        <v>16</v>
      </c>
      <c r="G30">
        <v>19</v>
      </c>
      <c r="H30">
        <v>31.88</v>
      </c>
      <c r="I30">
        <v>0</v>
      </c>
    </row>
    <row r="31" spans="1:9" hidden="1" x14ac:dyDescent="0.3">
      <c r="A31" t="s">
        <v>52</v>
      </c>
      <c r="B31">
        <v>10</v>
      </c>
      <c r="C31">
        <v>2</v>
      </c>
      <c r="D31" t="s">
        <v>43</v>
      </c>
      <c r="E31" t="s">
        <v>37</v>
      </c>
      <c r="F31">
        <v>18</v>
      </c>
      <c r="G31">
        <v>19</v>
      </c>
      <c r="H31">
        <v>34.354999999999997</v>
      </c>
      <c r="I31">
        <v>0</v>
      </c>
    </row>
    <row r="32" spans="1:9" hidden="1" x14ac:dyDescent="0.3">
      <c r="A32" t="s">
        <v>52</v>
      </c>
      <c r="B32">
        <v>11</v>
      </c>
      <c r="C32">
        <v>24</v>
      </c>
      <c r="D32" t="s">
        <v>28</v>
      </c>
      <c r="E32" t="s">
        <v>29</v>
      </c>
      <c r="F32">
        <v>17</v>
      </c>
      <c r="G32">
        <v>19</v>
      </c>
      <c r="H32">
        <v>35.078000000000003</v>
      </c>
      <c r="I32">
        <v>0</v>
      </c>
    </row>
    <row r="33" spans="1:9" hidden="1" x14ac:dyDescent="0.3">
      <c r="A33" t="s">
        <v>52</v>
      </c>
      <c r="B33">
        <v>12</v>
      </c>
      <c r="C33">
        <v>63</v>
      </c>
      <c r="D33" t="s">
        <v>19</v>
      </c>
      <c r="E33" t="s">
        <v>20</v>
      </c>
      <c r="F33">
        <v>11</v>
      </c>
      <c r="G33">
        <v>19</v>
      </c>
      <c r="H33">
        <v>35.755000000000003</v>
      </c>
      <c r="I33">
        <v>0</v>
      </c>
    </row>
    <row r="34" spans="1:9" hidden="1" x14ac:dyDescent="0.3">
      <c r="A34" t="s">
        <v>52</v>
      </c>
      <c r="B34">
        <v>13</v>
      </c>
      <c r="C34">
        <v>23</v>
      </c>
      <c r="D34" t="s">
        <v>36</v>
      </c>
      <c r="E34" t="s">
        <v>37</v>
      </c>
      <c r="F34">
        <v>20</v>
      </c>
      <c r="G34">
        <v>19</v>
      </c>
      <c r="H34">
        <v>36.085999999999999</v>
      </c>
      <c r="I34">
        <v>0</v>
      </c>
    </row>
    <row r="35" spans="1:9" hidden="1" x14ac:dyDescent="0.3">
      <c r="A35" t="s">
        <v>52</v>
      </c>
      <c r="B35">
        <v>14</v>
      </c>
      <c r="C35">
        <v>77</v>
      </c>
      <c r="D35" t="s">
        <v>42</v>
      </c>
      <c r="E35" t="s">
        <v>29</v>
      </c>
      <c r="F35">
        <v>19</v>
      </c>
      <c r="G35">
        <v>19</v>
      </c>
      <c r="H35">
        <v>36.892000000000003</v>
      </c>
      <c r="I35">
        <v>0</v>
      </c>
    </row>
    <row r="36" spans="1:9" hidden="1" x14ac:dyDescent="0.3">
      <c r="A36" t="s">
        <v>52</v>
      </c>
      <c r="B36">
        <v>15</v>
      </c>
      <c r="C36">
        <v>31</v>
      </c>
      <c r="D36" t="s">
        <v>39</v>
      </c>
      <c r="E36" t="s">
        <v>40</v>
      </c>
      <c r="F36">
        <v>13</v>
      </c>
      <c r="G36">
        <v>19</v>
      </c>
      <c r="H36">
        <v>37.74</v>
      </c>
      <c r="I36">
        <v>0</v>
      </c>
    </row>
    <row r="37" spans="1:9" hidden="1" x14ac:dyDescent="0.3">
      <c r="A37" t="s">
        <v>52</v>
      </c>
      <c r="B37">
        <v>16</v>
      </c>
      <c r="C37">
        <v>44</v>
      </c>
      <c r="D37" t="s">
        <v>23</v>
      </c>
      <c r="E37" t="s">
        <v>20</v>
      </c>
      <c r="F37">
        <v>12</v>
      </c>
      <c r="G37">
        <v>19</v>
      </c>
      <c r="H37">
        <v>49.347000000000001</v>
      </c>
      <c r="I37">
        <v>0</v>
      </c>
    </row>
    <row r="38" spans="1:9" hidden="1" x14ac:dyDescent="0.3">
      <c r="A38" t="s">
        <v>52</v>
      </c>
      <c r="B38">
        <v>17</v>
      </c>
      <c r="C38">
        <v>14</v>
      </c>
      <c r="D38" t="s">
        <v>25</v>
      </c>
      <c r="E38" t="s">
        <v>26</v>
      </c>
      <c r="F38">
        <v>8</v>
      </c>
      <c r="G38">
        <v>19</v>
      </c>
      <c r="H38">
        <v>59.408999999999999</v>
      </c>
      <c r="I38">
        <v>0</v>
      </c>
    </row>
    <row r="39" spans="1:9" hidden="1" x14ac:dyDescent="0.3">
      <c r="A39" t="s">
        <v>52</v>
      </c>
      <c r="B39">
        <v>18</v>
      </c>
      <c r="C39">
        <v>20</v>
      </c>
      <c r="D39" t="s">
        <v>31</v>
      </c>
      <c r="E39" t="s">
        <v>32</v>
      </c>
      <c r="F39">
        <v>14</v>
      </c>
      <c r="G39">
        <v>19</v>
      </c>
      <c r="H39">
        <v>66.302999999999997</v>
      </c>
      <c r="I39">
        <v>0</v>
      </c>
    </row>
    <row r="40" spans="1:9" hidden="1" x14ac:dyDescent="0.3">
      <c r="A40" t="s">
        <v>52</v>
      </c>
      <c r="B40" t="s">
        <v>47</v>
      </c>
      <c r="C40">
        <v>18</v>
      </c>
      <c r="D40" t="s">
        <v>27</v>
      </c>
      <c r="E40" t="s">
        <v>26</v>
      </c>
      <c r="F40">
        <v>7</v>
      </c>
      <c r="G40">
        <v>1</v>
      </c>
      <c r="H40" t="s">
        <v>48</v>
      </c>
      <c r="I40">
        <v>0</v>
      </c>
    </row>
    <row r="41" spans="1:9" hidden="1" x14ac:dyDescent="0.3">
      <c r="A41" t="s">
        <v>52</v>
      </c>
      <c r="B41" t="s">
        <v>47</v>
      </c>
      <c r="C41">
        <v>4</v>
      </c>
      <c r="D41" t="s">
        <v>21</v>
      </c>
      <c r="E41" t="s">
        <v>22</v>
      </c>
      <c r="F41">
        <v>9</v>
      </c>
      <c r="G41">
        <v>0</v>
      </c>
      <c r="H41" t="s">
        <v>48</v>
      </c>
      <c r="I41">
        <v>0</v>
      </c>
    </row>
    <row r="42" spans="1:9" x14ac:dyDescent="0.3">
      <c r="A42" t="s">
        <v>57</v>
      </c>
      <c r="B42">
        <v>1</v>
      </c>
      <c r="C42">
        <v>1</v>
      </c>
      <c r="D42" t="s">
        <v>12</v>
      </c>
      <c r="E42" t="s">
        <v>13</v>
      </c>
      <c r="F42">
        <v>1</v>
      </c>
      <c r="G42">
        <v>23</v>
      </c>
      <c r="H42" s="1">
        <v>1.8534594907407408E-2</v>
      </c>
      <c r="I42">
        <v>8</v>
      </c>
    </row>
    <row r="43" spans="1:9" hidden="1" x14ac:dyDescent="0.3">
      <c r="A43" t="s">
        <v>57</v>
      </c>
      <c r="B43">
        <v>2</v>
      </c>
      <c r="C43">
        <v>81</v>
      </c>
      <c r="D43" t="s">
        <v>24</v>
      </c>
      <c r="E43" t="s">
        <v>22</v>
      </c>
      <c r="F43">
        <v>3</v>
      </c>
      <c r="G43">
        <v>23</v>
      </c>
      <c r="H43">
        <v>4.6159999999999997</v>
      </c>
      <c r="I43">
        <v>7</v>
      </c>
    </row>
    <row r="44" spans="1:9" hidden="1" x14ac:dyDescent="0.3">
      <c r="A44" t="s">
        <v>57</v>
      </c>
      <c r="B44">
        <v>3</v>
      </c>
      <c r="C44">
        <v>4</v>
      </c>
      <c r="D44" t="s">
        <v>21</v>
      </c>
      <c r="E44" t="s">
        <v>22</v>
      </c>
      <c r="F44">
        <v>2</v>
      </c>
      <c r="G44">
        <v>23</v>
      </c>
      <c r="H44">
        <v>5.3479999999999999</v>
      </c>
      <c r="I44">
        <v>6</v>
      </c>
    </row>
    <row r="45" spans="1:9" hidden="1" x14ac:dyDescent="0.3">
      <c r="A45" t="s">
        <v>57</v>
      </c>
      <c r="B45">
        <v>4</v>
      </c>
      <c r="C45">
        <v>63</v>
      </c>
      <c r="D45" t="s">
        <v>19</v>
      </c>
      <c r="E45" t="s">
        <v>20</v>
      </c>
      <c r="F45">
        <v>4</v>
      </c>
      <c r="G45">
        <v>23</v>
      </c>
      <c r="H45">
        <v>8.3539999999999992</v>
      </c>
      <c r="I45">
        <v>5</v>
      </c>
    </row>
    <row r="46" spans="1:9" hidden="1" x14ac:dyDescent="0.3">
      <c r="A46" t="s">
        <v>57</v>
      </c>
      <c r="B46">
        <v>5</v>
      </c>
      <c r="C46">
        <v>55</v>
      </c>
      <c r="D46" t="s">
        <v>16</v>
      </c>
      <c r="E46" t="s">
        <v>17</v>
      </c>
      <c r="F46">
        <v>5</v>
      </c>
      <c r="G46">
        <v>23</v>
      </c>
      <c r="H46">
        <v>9.9890000000000008</v>
      </c>
      <c r="I46">
        <v>4</v>
      </c>
    </row>
    <row r="47" spans="1:9" hidden="1" x14ac:dyDescent="0.3">
      <c r="A47" t="s">
        <v>57</v>
      </c>
      <c r="B47">
        <v>6</v>
      </c>
      <c r="C47">
        <v>44</v>
      </c>
      <c r="D47" t="s">
        <v>23</v>
      </c>
      <c r="E47" t="s">
        <v>20</v>
      </c>
      <c r="F47">
        <v>6</v>
      </c>
      <c r="G47">
        <v>23</v>
      </c>
      <c r="H47">
        <v>11.207000000000001</v>
      </c>
      <c r="I47">
        <v>3</v>
      </c>
    </row>
    <row r="48" spans="1:9" hidden="1" x14ac:dyDescent="0.3">
      <c r="A48" t="s">
        <v>57</v>
      </c>
      <c r="B48">
        <v>7</v>
      </c>
      <c r="C48">
        <v>16</v>
      </c>
      <c r="D48" t="s">
        <v>18</v>
      </c>
      <c r="E48" t="s">
        <v>17</v>
      </c>
      <c r="F48">
        <v>10</v>
      </c>
      <c r="G48">
        <v>23</v>
      </c>
      <c r="H48">
        <v>13.423999999999999</v>
      </c>
      <c r="I48">
        <v>2</v>
      </c>
    </row>
    <row r="49" spans="1:9" x14ac:dyDescent="0.3">
      <c r="A49" t="s">
        <v>57</v>
      </c>
      <c r="B49">
        <v>8</v>
      </c>
      <c r="C49">
        <v>11</v>
      </c>
      <c r="D49" t="s">
        <v>15</v>
      </c>
      <c r="E49" t="s">
        <v>13</v>
      </c>
      <c r="F49">
        <v>7</v>
      </c>
      <c r="G49">
        <v>23</v>
      </c>
      <c r="H49">
        <v>17.408999999999999</v>
      </c>
      <c r="I49">
        <v>1</v>
      </c>
    </row>
    <row r="50" spans="1:9" hidden="1" x14ac:dyDescent="0.3">
      <c r="A50" t="s">
        <v>57</v>
      </c>
      <c r="B50">
        <v>9</v>
      </c>
      <c r="C50">
        <v>20</v>
      </c>
      <c r="D50" t="s">
        <v>31</v>
      </c>
      <c r="E50" t="s">
        <v>32</v>
      </c>
      <c r="F50">
        <v>11</v>
      </c>
      <c r="G50">
        <v>23</v>
      </c>
      <c r="H50">
        <v>24.067</v>
      </c>
      <c r="I50">
        <v>0</v>
      </c>
    </row>
    <row r="51" spans="1:9" hidden="1" x14ac:dyDescent="0.3">
      <c r="A51" t="s">
        <v>57</v>
      </c>
      <c r="B51">
        <v>10</v>
      </c>
      <c r="C51">
        <v>18</v>
      </c>
      <c r="D51" t="s">
        <v>27</v>
      </c>
      <c r="E51" t="s">
        <v>26</v>
      </c>
      <c r="F51">
        <v>12</v>
      </c>
      <c r="G51">
        <v>23</v>
      </c>
      <c r="H51">
        <v>30.175000000000001</v>
      </c>
      <c r="I51">
        <v>0</v>
      </c>
    </row>
    <row r="52" spans="1:9" hidden="1" x14ac:dyDescent="0.3">
      <c r="A52" t="s">
        <v>57</v>
      </c>
      <c r="B52">
        <v>11</v>
      </c>
      <c r="C52">
        <v>31</v>
      </c>
      <c r="D52" t="s">
        <v>39</v>
      </c>
      <c r="E52" t="s">
        <v>40</v>
      </c>
      <c r="F52">
        <v>8</v>
      </c>
      <c r="G52">
        <v>23</v>
      </c>
      <c r="H52">
        <v>30.838999999999999</v>
      </c>
      <c r="I52">
        <v>0</v>
      </c>
    </row>
    <row r="53" spans="1:9" hidden="1" x14ac:dyDescent="0.3">
      <c r="A53" t="s">
        <v>57</v>
      </c>
      <c r="B53">
        <v>12</v>
      </c>
      <c r="C53">
        <v>10</v>
      </c>
      <c r="D53" t="s">
        <v>41</v>
      </c>
      <c r="E53" t="s">
        <v>40</v>
      </c>
      <c r="F53">
        <v>9</v>
      </c>
      <c r="G53">
        <v>23</v>
      </c>
      <c r="H53">
        <v>31.308</v>
      </c>
      <c r="I53">
        <v>0</v>
      </c>
    </row>
    <row r="54" spans="1:9" hidden="1" x14ac:dyDescent="0.3">
      <c r="A54" t="s">
        <v>57</v>
      </c>
      <c r="B54">
        <v>13</v>
      </c>
      <c r="C54">
        <v>22</v>
      </c>
      <c r="D54" t="s">
        <v>35</v>
      </c>
      <c r="E54" t="s">
        <v>34</v>
      </c>
      <c r="F54">
        <v>14</v>
      </c>
      <c r="G54">
        <v>23</v>
      </c>
      <c r="H54">
        <v>35.451999999999998</v>
      </c>
      <c r="I54">
        <v>0</v>
      </c>
    </row>
    <row r="55" spans="1:9" hidden="1" x14ac:dyDescent="0.3">
      <c r="A55" t="s">
        <v>57</v>
      </c>
      <c r="B55">
        <v>14</v>
      </c>
      <c r="C55">
        <v>3</v>
      </c>
      <c r="D55" t="s">
        <v>33</v>
      </c>
      <c r="E55" t="s">
        <v>34</v>
      </c>
      <c r="F55">
        <v>16</v>
      </c>
      <c r="G55">
        <v>23</v>
      </c>
      <c r="H55">
        <v>39.396999999999998</v>
      </c>
      <c r="I55">
        <v>0</v>
      </c>
    </row>
    <row r="56" spans="1:9" hidden="1" x14ac:dyDescent="0.3">
      <c r="A56" t="s">
        <v>57</v>
      </c>
      <c r="B56">
        <v>15</v>
      </c>
      <c r="C56">
        <v>14</v>
      </c>
      <c r="D56" t="s">
        <v>25</v>
      </c>
      <c r="E56" t="s">
        <v>26</v>
      </c>
      <c r="F56">
        <v>13</v>
      </c>
      <c r="G56">
        <v>23</v>
      </c>
      <c r="H56">
        <v>43.155000000000001</v>
      </c>
      <c r="I56">
        <v>0</v>
      </c>
    </row>
    <row r="57" spans="1:9" hidden="1" x14ac:dyDescent="0.3">
      <c r="A57" t="s">
        <v>57</v>
      </c>
      <c r="B57">
        <v>16</v>
      </c>
      <c r="C57">
        <v>2</v>
      </c>
      <c r="D57" t="s">
        <v>43</v>
      </c>
      <c r="E57" t="s">
        <v>37</v>
      </c>
      <c r="F57">
        <v>15</v>
      </c>
      <c r="G57">
        <v>23</v>
      </c>
      <c r="H57">
        <v>44.076000000000001</v>
      </c>
      <c r="I57">
        <v>0</v>
      </c>
    </row>
    <row r="58" spans="1:9" hidden="1" x14ac:dyDescent="0.3">
      <c r="A58" t="s">
        <v>57</v>
      </c>
      <c r="B58">
        <v>17</v>
      </c>
      <c r="C58">
        <v>23</v>
      </c>
      <c r="D58" t="s">
        <v>36</v>
      </c>
      <c r="E58" t="s">
        <v>37</v>
      </c>
      <c r="F58">
        <v>20</v>
      </c>
      <c r="G58">
        <v>23</v>
      </c>
      <c r="H58">
        <v>44.673000000000002</v>
      </c>
      <c r="I58">
        <v>0</v>
      </c>
    </row>
    <row r="59" spans="1:9" hidden="1" x14ac:dyDescent="0.3">
      <c r="A59" t="s">
        <v>57</v>
      </c>
      <c r="B59">
        <v>18</v>
      </c>
      <c r="C59">
        <v>77</v>
      </c>
      <c r="D59" t="s">
        <v>42</v>
      </c>
      <c r="E59" t="s">
        <v>29</v>
      </c>
      <c r="F59">
        <v>18</v>
      </c>
      <c r="G59">
        <v>23</v>
      </c>
      <c r="H59">
        <v>46.511000000000003</v>
      </c>
      <c r="I59">
        <v>0</v>
      </c>
    </row>
    <row r="60" spans="1:9" hidden="1" x14ac:dyDescent="0.3">
      <c r="A60" t="s">
        <v>57</v>
      </c>
      <c r="B60">
        <v>19</v>
      </c>
      <c r="C60">
        <v>27</v>
      </c>
      <c r="D60" t="s">
        <v>38</v>
      </c>
      <c r="E60" t="s">
        <v>32</v>
      </c>
      <c r="F60">
        <v>17</v>
      </c>
      <c r="G60">
        <v>23</v>
      </c>
      <c r="H60">
        <v>48.423000000000002</v>
      </c>
      <c r="I60">
        <v>0</v>
      </c>
    </row>
    <row r="61" spans="1:9" hidden="1" x14ac:dyDescent="0.3">
      <c r="A61" t="s">
        <v>57</v>
      </c>
      <c r="B61">
        <v>20</v>
      </c>
      <c r="C61">
        <v>24</v>
      </c>
      <c r="D61" t="s">
        <v>28</v>
      </c>
      <c r="E61" t="s">
        <v>29</v>
      </c>
      <c r="F61">
        <v>19</v>
      </c>
      <c r="G61">
        <v>23</v>
      </c>
      <c r="H61">
        <v>53.143000000000001</v>
      </c>
      <c r="I61">
        <v>0</v>
      </c>
    </row>
    <row r="62" spans="1:9" x14ac:dyDescent="0.3">
      <c r="A62" t="s">
        <v>69</v>
      </c>
      <c r="B62">
        <v>1</v>
      </c>
      <c r="C62">
        <v>1</v>
      </c>
      <c r="D62" t="s">
        <v>12</v>
      </c>
      <c r="E62" t="s">
        <v>13</v>
      </c>
      <c r="F62">
        <v>1</v>
      </c>
      <c r="G62">
        <v>19</v>
      </c>
      <c r="H62" s="1">
        <v>2.1598912037037038E-2</v>
      </c>
      <c r="I62">
        <v>8</v>
      </c>
    </row>
    <row r="63" spans="1:9" hidden="1" x14ac:dyDescent="0.3">
      <c r="A63" t="s">
        <v>69</v>
      </c>
      <c r="B63">
        <v>2</v>
      </c>
      <c r="C63">
        <v>55</v>
      </c>
      <c r="D63" t="s">
        <v>16</v>
      </c>
      <c r="E63" t="s">
        <v>17</v>
      </c>
      <c r="F63">
        <v>5</v>
      </c>
      <c r="G63">
        <v>19</v>
      </c>
      <c r="H63">
        <v>3.8820000000000001</v>
      </c>
      <c r="I63">
        <v>7</v>
      </c>
    </row>
    <row r="64" spans="1:9" hidden="1" x14ac:dyDescent="0.3">
      <c r="A64" t="s">
        <v>69</v>
      </c>
      <c r="B64">
        <v>3</v>
      </c>
      <c r="C64">
        <v>4</v>
      </c>
      <c r="D64" t="s">
        <v>21</v>
      </c>
      <c r="E64" t="s">
        <v>22</v>
      </c>
      <c r="F64">
        <v>4</v>
      </c>
      <c r="G64">
        <v>19</v>
      </c>
      <c r="H64">
        <v>6.24</v>
      </c>
      <c r="I64">
        <v>6</v>
      </c>
    </row>
    <row r="65" spans="1:9" hidden="1" x14ac:dyDescent="0.3">
      <c r="A65" t="s">
        <v>69</v>
      </c>
      <c r="B65">
        <v>4</v>
      </c>
      <c r="C65">
        <v>16</v>
      </c>
      <c r="D65" t="s">
        <v>18</v>
      </c>
      <c r="E65" t="s">
        <v>17</v>
      </c>
      <c r="F65">
        <v>3</v>
      </c>
      <c r="G65">
        <v>19</v>
      </c>
      <c r="H65">
        <v>6.9560000000000004</v>
      </c>
      <c r="I65">
        <v>5</v>
      </c>
    </row>
    <row r="66" spans="1:9" hidden="1" x14ac:dyDescent="0.3">
      <c r="A66" t="s">
        <v>69</v>
      </c>
      <c r="B66">
        <v>5</v>
      </c>
      <c r="C66">
        <v>63</v>
      </c>
      <c r="D66" t="s">
        <v>19</v>
      </c>
      <c r="E66" t="s">
        <v>20</v>
      </c>
      <c r="F66">
        <v>2</v>
      </c>
      <c r="G66">
        <v>19</v>
      </c>
      <c r="H66">
        <v>15.766</v>
      </c>
      <c r="I66">
        <v>4</v>
      </c>
    </row>
    <row r="67" spans="1:9" hidden="1" x14ac:dyDescent="0.3">
      <c r="A67" t="s">
        <v>69</v>
      </c>
      <c r="B67">
        <v>6</v>
      </c>
      <c r="C67">
        <v>44</v>
      </c>
      <c r="D67" t="s">
        <v>23</v>
      </c>
      <c r="E67" t="s">
        <v>20</v>
      </c>
      <c r="F67">
        <v>7</v>
      </c>
      <c r="G67">
        <v>19</v>
      </c>
      <c r="H67">
        <v>18.724</v>
      </c>
      <c r="I67">
        <v>3</v>
      </c>
    </row>
    <row r="68" spans="1:9" hidden="1" x14ac:dyDescent="0.3">
      <c r="A68" t="s">
        <v>69</v>
      </c>
      <c r="B68">
        <v>7</v>
      </c>
      <c r="C68">
        <v>20</v>
      </c>
      <c r="D68" t="s">
        <v>31</v>
      </c>
      <c r="E68" t="s">
        <v>32</v>
      </c>
      <c r="F68">
        <v>8</v>
      </c>
      <c r="G68">
        <v>19</v>
      </c>
      <c r="H68">
        <v>25.161000000000001</v>
      </c>
      <c r="I68">
        <v>2</v>
      </c>
    </row>
    <row r="69" spans="1:9" hidden="1" x14ac:dyDescent="0.3">
      <c r="A69" t="s">
        <v>69</v>
      </c>
      <c r="B69">
        <v>8</v>
      </c>
      <c r="C69">
        <v>27</v>
      </c>
      <c r="D69" t="s">
        <v>38</v>
      </c>
      <c r="E69" t="s">
        <v>32</v>
      </c>
      <c r="F69">
        <v>6</v>
      </c>
      <c r="G69">
        <v>19</v>
      </c>
      <c r="H69">
        <v>26.588000000000001</v>
      </c>
      <c r="I69">
        <v>1</v>
      </c>
    </row>
    <row r="70" spans="1:9" x14ac:dyDescent="0.3">
      <c r="A70" t="s">
        <v>69</v>
      </c>
      <c r="B70">
        <v>9</v>
      </c>
      <c r="C70">
        <v>11</v>
      </c>
      <c r="D70" t="s">
        <v>15</v>
      </c>
      <c r="E70" t="s">
        <v>13</v>
      </c>
      <c r="F70">
        <v>11</v>
      </c>
      <c r="G70">
        <v>19</v>
      </c>
      <c r="H70">
        <v>29.95</v>
      </c>
      <c r="I70">
        <v>0</v>
      </c>
    </row>
    <row r="71" spans="1:9" hidden="1" x14ac:dyDescent="0.3">
      <c r="A71" t="s">
        <v>69</v>
      </c>
      <c r="B71">
        <v>10</v>
      </c>
      <c r="C71">
        <v>81</v>
      </c>
      <c r="D71" t="s">
        <v>24</v>
      </c>
      <c r="E71" t="s">
        <v>22</v>
      </c>
      <c r="F71">
        <v>16</v>
      </c>
      <c r="G71">
        <v>19</v>
      </c>
      <c r="H71">
        <v>37.058999999999997</v>
      </c>
      <c r="I71">
        <v>0</v>
      </c>
    </row>
    <row r="72" spans="1:9" hidden="1" x14ac:dyDescent="0.3">
      <c r="A72" t="s">
        <v>69</v>
      </c>
      <c r="B72">
        <v>11</v>
      </c>
      <c r="C72">
        <v>22</v>
      </c>
      <c r="D72" t="s">
        <v>35</v>
      </c>
      <c r="E72" t="s">
        <v>34</v>
      </c>
      <c r="F72">
        <v>9</v>
      </c>
      <c r="G72">
        <v>19</v>
      </c>
      <c r="H72">
        <v>38.363</v>
      </c>
      <c r="I72">
        <v>0</v>
      </c>
    </row>
    <row r="73" spans="1:9" hidden="1" x14ac:dyDescent="0.3">
      <c r="A73" t="s">
        <v>69</v>
      </c>
      <c r="B73">
        <v>12</v>
      </c>
      <c r="C73">
        <v>43</v>
      </c>
      <c r="D73" t="s">
        <v>66</v>
      </c>
      <c r="E73" t="s">
        <v>37</v>
      </c>
      <c r="F73">
        <v>10</v>
      </c>
      <c r="G73">
        <v>19</v>
      </c>
      <c r="H73">
        <v>39.46</v>
      </c>
      <c r="I73">
        <v>0</v>
      </c>
    </row>
    <row r="74" spans="1:9" hidden="1" x14ac:dyDescent="0.3">
      <c r="A74" t="s">
        <v>69</v>
      </c>
      <c r="B74">
        <v>13</v>
      </c>
      <c r="C74">
        <v>18</v>
      </c>
      <c r="D74" t="s">
        <v>27</v>
      </c>
      <c r="E74" t="s">
        <v>26</v>
      </c>
      <c r="F74">
        <v>13</v>
      </c>
      <c r="G74">
        <v>19</v>
      </c>
      <c r="H74">
        <v>41.235999999999997</v>
      </c>
      <c r="I74">
        <v>0</v>
      </c>
    </row>
    <row r="75" spans="1:9" hidden="1" x14ac:dyDescent="0.3">
      <c r="A75" t="s">
        <v>69</v>
      </c>
      <c r="B75">
        <v>14</v>
      </c>
      <c r="C75">
        <v>10</v>
      </c>
      <c r="D75" t="s">
        <v>41</v>
      </c>
      <c r="E75" t="s">
        <v>40</v>
      </c>
      <c r="F75">
        <v>12</v>
      </c>
      <c r="G75">
        <v>19</v>
      </c>
      <c r="H75">
        <v>41.994999999999997</v>
      </c>
      <c r="I75">
        <v>0</v>
      </c>
    </row>
    <row r="76" spans="1:9" hidden="1" x14ac:dyDescent="0.3">
      <c r="A76" t="s">
        <v>69</v>
      </c>
      <c r="B76">
        <v>15</v>
      </c>
      <c r="C76">
        <v>31</v>
      </c>
      <c r="D76" t="s">
        <v>39</v>
      </c>
      <c r="E76" t="s">
        <v>40</v>
      </c>
      <c r="F76">
        <v>17</v>
      </c>
      <c r="G76">
        <v>19</v>
      </c>
      <c r="H76">
        <v>42.804000000000002</v>
      </c>
      <c r="I76">
        <v>0</v>
      </c>
    </row>
    <row r="77" spans="1:9" hidden="1" x14ac:dyDescent="0.3">
      <c r="A77" t="s">
        <v>69</v>
      </c>
      <c r="B77">
        <v>16</v>
      </c>
      <c r="C77">
        <v>30</v>
      </c>
      <c r="D77" t="s">
        <v>70</v>
      </c>
      <c r="E77" t="s">
        <v>34</v>
      </c>
      <c r="F77">
        <v>15</v>
      </c>
      <c r="G77">
        <v>19</v>
      </c>
      <c r="H77">
        <v>44.008000000000003</v>
      </c>
      <c r="I77">
        <v>0</v>
      </c>
    </row>
    <row r="78" spans="1:9" hidden="1" x14ac:dyDescent="0.3">
      <c r="A78" t="s">
        <v>69</v>
      </c>
      <c r="B78">
        <v>17</v>
      </c>
      <c r="C78">
        <v>23</v>
      </c>
      <c r="D78" t="s">
        <v>36</v>
      </c>
      <c r="E78" t="s">
        <v>37</v>
      </c>
      <c r="F78">
        <v>20</v>
      </c>
      <c r="G78">
        <v>19</v>
      </c>
      <c r="H78">
        <v>44.564</v>
      </c>
      <c r="I78">
        <v>0</v>
      </c>
    </row>
    <row r="79" spans="1:9" hidden="1" x14ac:dyDescent="0.3">
      <c r="A79" t="s">
        <v>69</v>
      </c>
      <c r="B79">
        <v>18</v>
      </c>
      <c r="C79">
        <v>14</v>
      </c>
      <c r="D79" t="s">
        <v>25</v>
      </c>
      <c r="E79" t="s">
        <v>26</v>
      </c>
      <c r="F79">
        <v>14</v>
      </c>
      <c r="G79">
        <v>19</v>
      </c>
      <c r="H79">
        <v>46.807000000000002</v>
      </c>
      <c r="I79">
        <v>0</v>
      </c>
    </row>
    <row r="80" spans="1:9" hidden="1" x14ac:dyDescent="0.3">
      <c r="A80" t="s">
        <v>69</v>
      </c>
      <c r="B80">
        <v>19</v>
      </c>
      <c r="C80">
        <v>24</v>
      </c>
      <c r="D80" t="s">
        <v>28</v>
      </c>
      <c r="E80" t="s">
        <v>29</v>
      </c>
      <c r="F80">
        <v>19</v>
      </c>
      <c r="G80">
        <v>19</v>
      </c>
      <c r="H80">
        <v>52.841999999999999</v>
      </c>
      <c r="I80">
        <v>0</v>
      </c>
    </row>
    <row r="81" spans="1:9" hidden="1" x14ac:dyDescent="0.3">
      <c r="A81" t="s">
        <v>69</v>
      </c>
      <c r="B81">
        <v>20</v>
      </c>
      <c r="C81">
        <v>77</v>
      </c>
      <c r="D81" t="s">
        <v>42</v>
      </c>
      <c r="E81" t="s">
        <v>29</v>
      </c>
      <c r="F81">
        <v>18</v>
      </c>
      <c r="G81">
        <v>19</v>
      </c>
      <c r="H81">
        <v>54.475999999999999</v>
      </c>
      <c r="I81">
        <v>0</v>
      </c>
    </row>
    <row r="82" spans="1:9" hidden="1" x14ac:dyDescent="0.3">
      <c r="A82" t="s">
        <v>72</v>
      </c>
      <c r="B82">
        <v>1</v>
      </c>
      <c r="C82">
        <v>4</v>
      </c>
      <c r="D82" t="s">
        <v>21</v>
      </c>
      <c r="E82" t="s">
        <v>22</v>
      </c>
      <c r="F82">
        <v>2</v>
      </c>
      <c r="G82">
        <v>24</v>
      </c>
      <c r="H82" s="1">
        <v>2.0671817129629632E-2</v>
      </c>
      <c r="I82">
        <v>8</v>
      </c>
    </row>
    <row r="83" spans="1:9" hidden="1" x14ac:dyDescent="0.3">
      <c r="A83" t="s">
        <v>72</v>
      </c>
      <c r="B83">
        <v>2</v>
      </c>
      <c r="C83">
        <v>81</v>
      </c>
      <c r="D83" t="s">
        <v>24</v>
      </c>
      <c r="E83" t="s">
        <v>22</v>
      </c>
      <c r="F83">
        <v>1</v>
      </c>
      <c r="G83">
        <v>24</v>
      </c>
      <c r="H83">
        <v>0.59299999999999997</v>
      </c>
      <c r="I83">
        <v>7</v>
      </c>
    </row>
    <row r="84" spans="1:9" hidden="1" x14ac:dyDescent="0.3">
      <c r="A84" t="s">
        <v>72</v>
      </c>
      <c r="B84">
        <v>3</v>
      </c>
      <c r="C84">
        <v>16</v>
      </c>
      <c r="D84" t="s">
        <v>18</v>
      </c>
      <c r="E84" t="s">
        <v>17</v>
      </c>
      <c r="F84">
        <v>3</v>
      </c>
      <c r="G84">
        <v>24</v>
      </c>
      <c r="H84">
        <v>5.6559999999999997</v>
      </c>
      <c r="I84">
        <v>6</v>
      </c>
    </row>
    <row r="85" spans="1:9" x14ac:dyDescent="0.3">
      <c r="A85" t="s">
        <v>72</v>
      </c>
      <c r="B85">
        <v>4</v>
      </c>
      <c r="C85">
        <v>1</v>
      </c>
      <c r="D85" t="s">
        <v>12</v>
      </c>
      <c r="E85" t="s">
        <v>13</v>
      </c>
      <c r="F85">
        <v>4</v>
      </c>
      <c r="G85">
        <v>24</v>
      </c>
      <c r="H85">
        <v>6.4969999999999999</v>
      </c>
      <c r="I85">
        <v>5</v>
      </c>
    </row>
    <row r="86" spans="1:9" hidden="1" x14ac:dyDescent="0.3">
      <c r="A86" t="s">
        <v>72</v>
      </c>
      <c r="B86">
        <v>5</v>
      </c>
      <c r="C86">
        <v>55</v>
      </c>
      <c r="D86" t="s">
        <v>16</v>
      </c>
      <c r="E86" t="s">
        <v>17</v>
      </c>
      <c r="F86">
        <v>5</v>
      </c>
      <c r="G86">
        <v>24</v>
      </c>
      <c r="H86">
        <v>7.2240000000000002</v>
      </c>
      <c r="I86">
        <v>4</v>
      </c>
    </row>
    <row r="87" spans="1:9" hidden="1" x14ac:dyDescent="0.3">
      <c r="A87" t="s">
        <v>72</v>
      </c>
      <c r="B87">
        <v>6</v>
      </c>
      <c r="C87">
        <v>63</v>
      </c>
      <c r="D87" t="s">
        <v>19</v>
      </c>
      <c r="E87" t="s">
        <v>20</v>
      </c>
      <c r="F87">
        <v>6</v>
      </c>
      <c r="G87">
        <v>24</v>
      </c>
      <c r="H87">
        <v>12.475</v>
      </c>
      <c r="I87">
        <v>3</v>
      </c>
    </row>
    <row r="88" spans="1:9" hidden="1" x14ac:dyDescent="0.3">
      <c r="A88" t="s">
        <v>72</v>
      </c>
      <c r="B88">
        <v>7</v>
      </c>
      <c r="C88">
        <v>10</v>
      </c>
      <c r="D88" t="s">
        <v>41</v>
      </c>
      <c r="E88" t="s">
        <v>40</v>
      </c>
      <c r="F88">
        <v>7</v>
      </c>
      <c r="G88">
        <v>24</v>
      </c>
      <c r="H88">
        <v>18.161000000000001</v>
      </c>
      <c r="I88">
        <v>2</v>
      </c>
    </row>
    <row r="89" spans="1:9" x14ac:dyDescent="0.3">
      <c r="A89" t="s">
        <v>72</v>
      </c>
      <c r="B89">
        <v>8</v>
      </c>
      <c r="C89">
        <v>11</v>
      </c>
      <c r="D89" t="s">
        <v>15</v>
      </c>
      <c r="E89" t="s">
        <v>13</v>
      </c>
      <c r="F89">
        <v>13</v>
      </c>
      <c r="G89">
        <v>24</v>
      </c>
      <c r="H89">
        <v>18.716999999999999</v>
      </c>
      <c r="I89">
        <v>1</v>
      </c>
    </row>
    <row r="90" spans="1:9" hidden="1" x14ac:dyDescent="0.3">
      <c r="A90" t="s">
        <v>72</v>
      </c>
      <c r="B90">
        <v>9</v>
      </c>
      <c r="C90">
        <v>30</v>
      </c>
      <c r="D90" t="s">
        <v>70</v>
      </c>
      <c r="E90" t="s">
        <v>34</v>
      </c>
      <c r="F90">
        <v>8</v>
      </c>
      <c r="G90">
        <v>24</v>
      </c>
      <c r="H90">
        <v>20.773</v>
      </c>
      <c r="I90">
        <v>0</v>
      </c>
    </row>
    <row r="91" spans="1:9" hidden="1" x14ac:dyDescent="0.3">
      <c r="A91" t="s">
        <v>72</v>
      </c>
      <c r="B91">
        <v>10</v>
      </c>
      <c r="C91">
        <v>23</v>
      </c>
      <c r="D91" t="s">
        <v>36</v>
      </c>
      <c r="E91" t="s">
        <v>37</v>
      </c>
      <c r="F91">
        <v>9</v>
      </c>
      <c r="G91">
        <v>24</v>
      </c>
      <c r="H91">
        <v>24.606000000000002</v>
      </c>
      <c r="I91">
        <v>0</v>
      </c>
    </row>
    <row r="92" spans="1:9" hidden="1" x14ac:dyDescent="0.3">
      <c r="A92" t="s">
        <v>72</v>
      </c>
      <c r="B92">
        <v>11</v>
      </c>
      <c r="C92">
        <v>44</v>
      </c>
      <c r="D92" t="s">
        <v>23</v>
      </c>
      <c r="E92" t="s">
        <v>20</v>
      </c>
      <c r="F92">
        <v>11</v>
      </c>
      <c r="G92">
        <v>24</v>
      </c>
      <c r="H92">
        <v>29.763999999999999</v>
      </c>
      <c r="I92">
        <v>0</v>
      </c>
    </row>
    <row r="93" spans="1:9" hidden="1" x14ac:dyDescent="0.3">
      <c r="A93" t="s">
        <v>72</v>
      </c>
      <c r="B93">
        <v>12</v>
      </c>
      <c r="C93">
        <v>43</v>
      </c>
      <c r="D93" t="s">
        <v>66</v>
      </c>
      <c r="E93" t="s">
        <v>37</v>
      </c>
      <c r="F93">
        <v>14</v>
      </c>
      <c r="G93">
        <v>24</v>
      </c>
      <c r="H93">
        <v>33.232999999999997</v>
      </c>
      <c r="I93">
        <v>0</v>
      </c>
    </row>
    <row r="94" spans="1:9" hidden="1" x14ac:dyDescent="0.3">
      <c r="A94" t="s">
        <v>72</v>
      </c>
      <c r="B94">
        <v>13</v>
      </c>
      <c r="C94">
        <v>31</v>
      </c>
      <c r="D94" t="s">
        <v>39</v>
      </c>
      <c r="E94" t="s">
        <v>40</v>
      </c>
      <c r="F94">
        <v>16</v>
      </c>
      <c r="G94">
        <v>24</v>
      </c>
      <c r="H94">
        <v>34.128</v>
      </c>
      <c r="I94">
        <v>0</v>
      </c>
    </row>
    <row r="95" spans="1:9" hidden="1" x14ac:dyDescent="0.3">
      <c r="A95" t="s">
        <v>72</v>
      </c>
      <c r="B95">
        <v>14</v>
      </c>
      <c r="C95">
        <v>50</v>
      </c>
      <c r="D95" t="s">
        <v>46</v>
      </c>
      <c r="E95" t="s">
        <v>32</v>
      </c>
      <c r="F95">
        <v>10</v>
      </c>
      <c r="G95">
        <v>24</v>
      </c>
      <c r="H95">
        <v>35.506999999999998</v>
      </c>
      <c r="I95">
        <v>0</v>
      </c>
    </row>
    <row r="96" spans="1:9" hidden="1" x14ac:dyDescent="0.3">
      <c r="A96" t="s">
        <v>72</v>
      </c>
      <c r="B96">
        <v>15</v>
      </c>
      <c r="C96">
        <v>22</v>
      </c>
      <c r="D96" t="s">
        <v>35</v>
      </c>
      <c r="E96" t="s">
        <v>34</v>
      </c>
      <c r="F96">
        <v>17</v>
      </c>
      <c r="G96">
        <v>24</v>
      </c>
      <c r="H96">
        <v>41.374000000000002</v>
      </c>
      <c r="I96">
        <v>0</v>
      </c>
    </row>
    <row r="97" spans="1:9" hidden="1" x14ac:dyDescent="0.3">
      <c r="A97" t="s">
        <v>72</v>
      </c>
      <c r="B97">
        <v>16</v>
      </c>
      <c r="C97">
        <v>77</v>
      </c>
      <c r="D97" t="s">
        <v>42</v>
      </c>
      <c r="E97" t="s">
        <v>29</v>
      </c>
      <c r="F97">
        <v>15</v>
      </c>
      <c r="G97">
        <v>24</v>
      </c>
      <c r="H97">
        <v>43.231000000000002</v>
      </c>
      <c r="I97">
        <v>0</v>
      </c>
    </row>
    <row r="98" spans="1:9" hidden="1" x14ac:dyDescent="0.3">
      <c r="A98" t="s">
        <v>72</v>
      </c>
      <c r="B98">
        <v>17</v>
      </c>
      <c r="C98">
        <v>24</v>
      </c>
      <c r="D98" t="s">
        <v>28</v>
      </c>
      <c r="E98" t="s">
        <v>29</v>
      </c>
      <c r="F98">
        <v>20</v>
      </c>
      <c r="G98">
        <v>24</v>
      </c>
      <c r="H98">
        <v>54.139000000000003</v>
      </c>
      <c r="I98">
        <v>0</v>
      </c>
    </row>
    <row r="99" spans="1:9" hidden="1" x14ac:dyDescent="0.3">
      <c r="A99" t="s">
        <v>72</v>
      </c>
      <c r="B99">
        <v>18</v>
      </c>
      <c r="C99">
        <v>14</v>
      </c>
      <c r="D99" t="s">
        <v>25</v>
      </c>
      <c r="E99" t="s">
        <v>26</v>
      </c>
      <c r="F99">
        <v>18</v>
      </c>
      <c r="G99">
        <v>24</v>
      </c>
      <c r="H99">
        <v>56.536999999999999</v>
      </c>
      <c r="I99">
        <v>0</v>
      </c>
    </row>
    <row r="100" spans="1:9" hidden="1" x14ac:dyDescent="0.3">
      <c r="A100" t="s">
        <v>72</v>
      </c>
      <c r="B100">
        <v>19</v>
      </c>
      <c r="C100">
        <v>18</v>
      </c>
      <c r="D100" t="s">
        <v>27</v>
      </c>
      <c r="E100" t="s">
        <v>26</v>
      </c>
      <c r="F100">
        <v>19</v>
      </c>
      <c r="G100">
        <v>24</v>
      </c>
      <c r="H100">
        <v>57.982999999999997</v>
      </c>
      <c r="I100">
        <v>0</v>
      </c>
    </row>
    <row r="101" spans="1:9" hidden="1" x14ac:dyDescent="0.3">
      <c r="A101" t="s">
        <v>72</v>
      </c>
      <c r="B101" t="s">
        <v>47</v>
      </c>
      <c r="C101">
        <v>27</v>
      </c>
      <c r="D101" t="s">
        <v>38</v>
      </c>
      <c r="E101" t="s">
        <v>32</v>
      </c>
      <c r="F101">
        <v>12</v>
      </c>
      <c r="G101">
        <v>19</v>
      </c>
      <c r="H101" t="s">
        <v>48</v>
      </c>
      <c r="I101">
        <v>0</v>
      </c>
    </row>
    <row r="102" spans="1:9" hidden="1" x14ac:dyDescent="0.3">
      <c r="A102" t="s">
        <v>75</v>
      </c>
      <c r="B102">
        <v>1</v>
      </c>
      <c r="C102">
        <v>81</v>
      </c>
      <c r="D102" t="s">
        <v>24</v>
      </c>
      <c r="E102" t="s">
        <v>22</v>
      </c>
      <c r="F102">
        <v>3</v>
      </c>
      <c r="G102">
        <v>19</v>
      </c>
      <c r="H102" s="1">
        <v>1.8784837962962962E-2</v>
      </c>
      <c r="I102">
        <v>8</v>
      </c>
    </row>
    <row r="103" spans="1:9" hidden="1" x14ac:dyDescent="0.3">
      <c r="A103" t="s">
        <v>75</v>
      </c>
      <c r="B103">
        <v>2</v>
      </c>
      <c r="C103">
        <v>4</v>
      </c>
      <c r="D103" t="s">
        <v>21</v>
      </c>
      <c r="E103" t="s">
        <v>22</v>
      </c>
      <c r="F103">
        <v>1</v>
      </c>
      <c r="G103">
        <v>19</v>
      </c>
      <c r="H103">
        <v>0.13600000000000001</v>
      </c>
      <c r="I103">
        <v>7</v>
      </c>
    </row>
    <row r="104" spans="1:9" hidden="1" x14ac:dyDescent="0.3">
      <c r="A104" t="s">
        <v>75</v>
      </c>
      <c r="B104">
        <v>3</v>
      </c>
      <c r="C104">
        <v>63</v>
      </c>
      <c r="D104" t="s">
        <v>19</v>
      </c>
      <c r="E104" t="s">
        <v>20</v>
      </c>
      <c r="F104">
        <v>2</v>
      </c>
      <c r="G104">
        <v>19</v>
      </c>
      <c r="H104">
        <v>0.41</v>
      </c>
      <c r="I104">
        <v>6</v>
      </c>
    </row>
    <row r="105" spans="1:9" hidden="1" x14ac:dyDescent="0.3">
      <c r="A105" t="s">
        <v>75</v>
      </c>
      <c r="B105">
        <v>4</v>
      </c>
      <c r="C105">
        <v>55</v>
      </c>
      <c r="D105" t="s">
        <v>16</v>
      </c>
      <c r="E105" t="s">
        <v>17</v>
      </c>
      <c r="F105">
        <v>4</v>
      </c>
      <c r="G105">
        <v>19</v>
      </c>
      <c r="H105">
        <v>1.3260000000000001</v>
      </c>
      <c r="I105">
        <v>5</v>
      </c>
    </row>
    <row r="106" spans="1:9" hidden="1" x14ac:dyDescent="0.3">
      <c r="A106" t="s">
        <v>75</v>
      </c>
      <c r="B106">
        <v>5</v>
      </c>
      <c r="C106">
        <v>16</v>
      </c>
      <c r="D106" t="s">
        <v>18</v>
      </c>
      <c r="E106" t="s">
        <v>17</v>
      </c>
      <c r="F106">
        <v>5</v>
      </c>
      <c r="G106">
        <v>19</v>
      </c>
      <c r="H106">
        <v>5.0730000000000004</v>
      </c>
      <c r="I106">
        <v>4</v>
      </c>
    </row>
    <row r="107" spans="1:9" hidden="1" x14ac:dyDescent="0.3">
      <c r="A107" t="s">
        <v>75</v>
      </c>
      <c r="B107">
        <v>6</v>
      </c>
      <c r="C107">
        <v>44</v>
      </c>
      <c r="D107" t="s">
        <v>23</v>
      </c>
      <c r="E107" t="s">
        <v>20</v>
      </c>
      <c r="F107">
        <v>7</v>
      </c>
      <c r="G107">
        <v>19</v>
      </c>
      <c r="H107">
        <v>5.65</v>
      </c>
      <c r="I107">
        <v>3</v>
      </c>
    </row>
    <row r="108" spans="1:9" hidden="1" x14ac:dyDescent="0.3">
      <c r="A108" t="s">
        <v>75</v>
      </c>
      <c r="B108">
        <v>7</v>
      </c>
      <c r="C108">
        <v>27</v>
      </c>
      <c r="D108" t="s">
        <v>38</v>
      </c>
      <c r="E108" t="s">
        <v>32</v>
      </c>
      <c r="F108">
        <v>9</v>
      </c>
      <c r="G108">
        <v>19</v>
      </c>
      <c r="H108">
        <v>8.5079999999999991</v>
      </c>
      <c r="I108">
        <v>2</v>
      </c>
    </row>
    <row r="109" spans="1:9" x14ac:dyDescent="0.3">
      <c r="A109" t="s">
        <v>75</v>
      </c>
      <c r="B109">
        <v>8</v>
      </c>
      <c r="C109">
        <v>1</v>
      </c>
      <c r="D109" t="s">
        <v>12</v>
      </c>
      <c r="E109" t="s">
        <v>13</v>
      </c>
      <c r="F109">
        <v>6</v>
      </c>
      <c r="G109">
        <v>19</v>
      </c>
      <c r="H109">
        <v>10.368</v>
      </c>
      <c r="I109">
        <v>1</v>
      </c>
    </row>
    <row r="110" spans="1:9" hidden="1" x14ac:dyDescent="0.3">
      <c r="A110" t="s">
        <v>75</v>
      </c>
      <c r="B110">
        <v>9</v>
      </c>
      <c r="C110">
        <v>10</v>
      </c>
      <c r="D110" t="s">
        <v>41</v>
      </c>
      <c r="E110" t="s">
        <v>40</v>
      </c>
      <c r="F110">
        <v>8</v>
      </c>
      <c r="G110">
        <v>19</v>
      </c>
      <c r="H110">
        <v>14.513</v>
      </c>
      <c r="I110">
        <v>0</v>
      </c>
    </row>
    <row r="111" spans="1:9" hidden="1" x14ac:dyDescent="0.3">
      <c r="A111" t="s">
        <v>75</v>
      </c>
      <c r="B111">
        <v>10</v>
      </c>
      <c r="C111">
        <v>20</v>
      </c>
      <c r="D111" t="s">
        <v>31</v>
      </c>
      <c r="E111" t="s">
        <v>32</v>
      </c>
      <c r="F111">
        <v>15</v>
      </c>
      <c r="G111">
        <v>19</v>
      </c>
      <c r="H111">
        <v>15.484999999999999</v>
      </c>
      <c r="I111">
        <v>0</v>
      </c>
    </row>
    <row r="112" spans="1:9" hidden="1" x14ac:dyDescent="0.3">
      <c r="A112" t="s">
        <v>75</v>
      </c>
      <c r="B112">
        <v>11</v>
      </c>
      <c r="C112">
        <v>14</v>
      </c>
      <c r="D112" t="s">
        <v>25</v>
      </c>
      <c r="E112" t="s">
        <v>26</v>
      </c>
      <c r="F112">
        <v>11</v>
      </c>
      <c r="G112">
        <v>19</v>
      </c>
      <c r="H112">
        <v>19.239999999999998</v>
      </c>
      <c r="I112">
        <v>0</v>
      </c>
    </row>
    <row r="113" spans="1:9" hidden="1" x14ac:dyDescent="0.3">
      <c r="A113" t="s">
        <v>75</v>
      </c>
      <c r="B113">
        <v>12</v>
      </c>
      <c r="C113">
        <v>77</v>
      </c>
      <c r="D113" t="s">
        <v>42</v>
      </c>
      <c r="E113" t="s">
        <v>29</v>
      </c>
      <c r="F113">
        <v>13</v>
      </c>
      <c r="G113">
        <v>19</v>
      </c>
      <c r="H113">
        <v>23.350999999999999</v>
      </c>
      <c r="I113">
        <v>0</v>
      </c>
    </row>
    <row r="114" spans="1:9" hidden="1" x14ac:dyDescent="0.3">
      <c r="A114" t="s">
        <v>75</v>
      </c>
      <c r="B114">
        <v>13</v>
      </c>
      <c r="C114">
        <v>18</v>
      </c>
      <c r="D114" t="s">
        <v>27</v>
      </c>
      <c r="E114" t="s">
        <v>26</v>
      </c>
      <c r="F114">
        <v>14</v>
      </c>
      <c r="G114">
        <v>19</v>
      </c>
      <c r="H114">
        <v>24.420999999999999</v>
      </c>
      <c r="I114">
        <v>0</v>
      </c>
    </row>
    <row r="115" spans="1:9" hidden="1" x14ac:dyDescent="0.3">
      <c r="A115" t="s">
        <v>75</v>
      </c>
      <c r="B115">
        <v>14</v>
      </c>
      <c r="C115">
        <v>31</v>
      </c>
      <c r="D115" t="s">
        <v>39</v>
      </c>
      <c r="E115" t="s">
        <v>40</v>
      </c>
      <c r="F115">
        <v>17</v>
      </c>
      <c r="G115">
        <v>19</v>
      </c>
      <c r="H115">
        <v>30.379000000000001</v>
      </c>
      <c r="I115">
        <v>0</v>
      </c>
    </row>
    <row r="116" spans="1:9" hidden="1" x14ac:dyDescent="0.3">
      <c r="A116" t="s">
        <v>75</v>
      </c>
      <c r="B116">
        <v>15</v>
      </c>
      <c r="C116">
        <v>23</v>
      </c>
      <c r="D116" t="s">
        <v>36</v>
      </c>
      <c r="E116" t="s">
        <v>37</v>
      </c>
      <c r="F116">
        <v>12</v>
      </c>
      <c r="G116">
        <v>19</v>
      </c>
      <c r="H116">
        <v>33.061999999999998</v>
      </c>
      <c r="I116">
        <v>0</v>
      </c>
    </row>
    <row r="117" spans="1:9" hidden="1" x14ac:dyDescent="0.3">
      <c r="A117" t="s">
        <v>75</v>
      </c>
      <c r="B117">
        <v>16</v>
      </c>
      <c r="C117">
        <v>30</v>
      </c>
      <c r="D117" t="s">
        <v>70</v>
      </c>
      <c r="E117" t="s">
        <v>34</v>
      </c>
      <c r="F117">
        <v>10</v>
      </c>
      <c r="G117">
        <v>19</v>
      </c>
      <c r="H117">
        <v>34.356000000000002</v>
      </c>
      <c r="I117">
        <v>0</v>
      </c>
    </row>
    <row r="118" spans="1:9" hidden="1" x14ac:dyDescent="0.3">
      <c r="A118" t="s">
        <v>75</v>
      </c>
      <c r="B118">
        <v>17</v>
      </c>
      <c r="C118">
        <v>22</v>
      </c>
      <c r="D118" t="s">
        <v>35</v>
      </c>
      <c r="E118" t="s">
        <v>34</v>
      </c>
      <c r="F118">
        <v>16</v>
      </c>
      <c r="G118">
        <v>19</v>
      </c>
      <c r="H118">
        <v>35.101999999999997</v>
      </c>
      <c r="I118">
        <v>0</v>
      </c>
    </row>
    <row r="119" spans="1:9" hidden="1" x14ac:dyDescent="0.3">
      <c r="A119" t="s">
        <v>75</v>
      </c>
      <c r="B119">
        <v>18</v>
      </c>
      <c r="C119">
        <v>43</v>
      </c>
      <c r="D119" t="s">
        <v>66</v>
      </c>
      <c r="E119" t="s">
        <v>37</v>
      </c>
      <c r="F119">
        <v>20</v>
      </c>
      <c r="G119">
        <v>19</v>
      </c>
      <c r="H119">
        <v>35.639000000000003</v>
      </c>
      <c r="I119">
        <v>0</v>
      </c>
    </row>
    <row r="120" spans="1:9" hidden="1" x14ac:dyDescent="0.3">
      <c r="A120" t="s">
        <v>75</v>
      </c>
      <c r="B120">
        <v>19</v>
      </c>
      <c r="C120">
        <v>24</v>
      </c>
      <c r="D120" t="s">
        <v>28</v>
      </c>
      <c r="E120" t="s">
        <v>29</v>
      </c>
      <c r="F120">
        <v>18</v>
      </c>
      <c r="G120">
        <v>19</v>
      </c>
      <c r="H120">
        <v>71.436000000000007</v>
      </c>
      <c r="I120">
        <v>0</v>
      </c>
    </row>
    <row r="121" spans="1:9" x14ac:dyDescent="0.3">
      <c r="A121" t="s">
        <v>75</v>
      </c>
      <c r="B121">
        <v>20</v>
      </c>
      <c r="C121">
        <v>11</v>
      </c>
      <c r="D121" t="s">
        <v>15</v>
      </c>
      <c r="E121" t="s">
        <v>13</v>
      </c>
      <c r="F121">
        <v>19</v>
      </c>
      <c r="G121">
        <v>19</v>
      </c>
      <c r="H121">
        <v>74.370999999999995</v>
      </c>
      <c r="I121">
        <v>0</v>
      </c>
    </row>
  </sheetData>
  <autoFilter ref="A1:I121" xr:uid="{2B558213-C9F0-40B4-B951-3172CDCA478C}">
    <filterColumn colId="4">
      <filters>
        <filter val="Red Bull Racing Honda RBP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0F17-C508-476D-8B79-BE67E0804350}">
  <dimension ref="A1:C17"/>
  <sheetViews>
    <sheetView workbookViewId="0">
      <selection activeCell="C15" sqref="C15"/>
    </sheetView>
  </sheetViews>
  <sheetFormatPr defaultRowHeight="14.4" x14ac:dyDescent="0.3"/>
  <cols>
    <col min="2" max="2" width="26.33203125" bestFit="1" customWidth="1"/>
    <col min="3" max="3" width="18.88671875" bestFit="1" customWidth="1"/>
  </cols>
  <sheetData>
    <row r="1" spans="1:3" x14ac:dyDescent="0.3">
      <c r="A1" t="s">
        <v>84</v>
      </c>
      <c r="B1" t="s">
        <v>79</v>
      </c>
      <c r="C1" t="s">
        <v>85</v>
      </c>
    </row>
    <row r="2" spans="1:3" x14ac:dyDescent="0.3">
      <c r="A2" t="s">
        <v>80</v>
      </c>
      <c r="B2" t="s">
        <v>13</v>
      </c>
      <c r="C2">
        <f>211+28</f>
        <v>239</v>
      </c>
    </row>
    <row r="3" spans="1:3" x14ac:dyDescent="0.3">
      <c r="A3" t="s">
        <v>80</v>
      </c>
      <c r="B3" t="s">
        <v>22</v>
      </c>
      <c r="C3">
        <f>116+8</f>
        <v>124</v>
      </c>
    </row>
    <row r="4" spans="1:3" x14ac:dyDescent="0.3">
      <c r="A4" t="s">
        <v>80</v>
      </c>
      <c r="B4" t="s">
        <v>17</v>
      </c>
      <c r="C4">
        <f>167+20</f>
        <v>187</v>
      </c>
    </row>
    <row r="5" spans="1:3" x14ac:dyDescent="0.3">
      <c r="A5" t="s">
        <v>80</v>
      </c>
      <c r="B5" t="s">
        <v>20</v>
      </c>
      <c r="C5">
        <f>56+8</f>
        <v>64</v>
      </c>
    </row>
    <row r="6" spans="1:3" x14ac:dyDescent="0.3">
      <c r="A6" t="s">
        <v>81</v>
      </c>
      <c r="B6" t="s">
        <v>13</v>
      </c>
      <c r="C6">
        <f>336+37</f>
        <v>373</v>
      </c>
    </row>
    <row r="7" spans="1:3" x14ac:dyDescent="0.3">
      <c r="A7" t="s">
        <v>81</v>
      </c>
      <c r="B7" t="s">
        <v>22</v>
      </c>
      <c r="C7">
        <f>274+21</f>
        <v>295</v>
      </c>
    </row>
    <row r="8" spans="1:3" x14ac:dyDescent="0.3">
      <c r="A8" t="s">
        <v>81</v>
      </c>
      <c r="B8" t="s">
        <v>17</v>
      </c>
      <c r="C8">
        <f>276+21</f>
        <v>297</v>
      </c>
    </row>
    <row r="9" spans="1:3" x14ac:dyDescent="0.3">
      <c r="A9" t="s">
        <v>81</v>
      </c>
      <c r="B9" t="s">
        <v>20</v>
      </c>
      <c r="C9">
        <f>205+16</f>
        <v>221</v>
      </c>
    </row>
    <row r="10" spans="1:3" x14ac:dyDescent="0.3">
      <c r="A10" t="s">
        <v>82</v>
      </c>
      <c r="B10" t="s">
        <v>13</v>
      </c>
      <c r="C10">
        <f>438+37</f>
        <v>475</v>
      </c>
    </row>
    <row r="11" spans="1:3" x14ac:dyDescent="0.3">
      <c r="A11" t="s">
        <v>82</v>
      </c>
      <c r="B11" t="s">
        <v>22</v>
      </c>
      <c r="C11">
        <f>495+21</f>
        <v>516</v>
      </c>
    </row>
    <row r="12" spans="1:3" x14ac:dyDescent="0.3">
      <c r="A12" t="s">
        <v>82</v>
      </c>
      <c r="B12" t="s">
        <v>17</v>
      </c>
      <c r="C12">
        <f>415+21</f>
        <v>436</v>
      </c>
    </row>
    <row r="13" spans="1:3" x14ac:dyDescent="0.3">
      <c r="A13" t="s">
        <v>82</v>
      </c>
      <c r="B13" t="s">
        <v>20</v>
      </c>
      <c r="C13">
        <f>313+16</f>
        <v>329</v>
      </c>
    </row>
    <row r="14" spans="1:3" x14ac:dyDescent="0.3">
      <c r="A14" t="s">
        <v>83</v>
      </c>
      <c r="B14" t="s">
        <v>13</v>
      </c>
      <c r="C14">
        <f>537+52</f>
        <v>589</v>
      </c>
    </row>
    <row r="15" spans="1:3" x14ac:dyDescent="0.3">
      <c r="A15" t="s">
        <v>83</v>
      </c>
      <c r="B15" t="s">
        <v>22</v>
      </c>
      <c r="C15">
        <f>609+57</f>
        <v>666</v>
      </c>
    </row>
    <row r="16" spans="1:3" x14ac:dyDescent="0.3">
      <c r="A16" t="s">
        <v>83</v>
      </c>
      <c r="B16" t="s">
        <v>17</v>
      </c>
      <c r="C16">
        <f>595+57</f>
        <v>652</v>
      </c>
    </row>
    <row r="17" spans="1:3" x14ac:dyDescent="0.3">
      <c r="A17" t="s">
        <v>83</v>
      </c>
      <c r="B17" t="s">
        <v>20</v>
      </c>
      <c r="C17">
        <f>433+35</f>
        <v>468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722E-E332-46B6-A1DB-2434236921A9}">
  <sheetPr filterMode="1"/>
  <dimension ref="A1:K193"/>
  <sheetViews>
    <sheetView workbookViewId="0">
      <selection activeCell="I1" sqref="I1:I1048576"/>
    </sheetView>
  </sheetViews>
  <sheetFormatPr defaultRowHeight="14.4" x14ac:dyDescent="0.3"/>
  <cols>
    <col min="4" max="4" width="15.109375" bestFit="1" customWidth="1"/>
    <col min="5" max="5" width="26.33203125" bestFit="1" customWidth="1"/>
    <col min="6" max="6" width="11.88671875" bestFit="1" customWidth="1"/>
    <col min="8" max="8" width="12.109375" bestFit="1" customWidth="1"/>
    <col min="10" max="10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</v>
      </c>
      <c r="C2">
        <v>1</v>
      </c>
      <c r="D2" t="s">
        <v>12</v>
      </c>
      <c r="E2" t="s">
        <v>13</v>
      </c>
      <c r="F2">
        <v>1</v>
      </c>
      <c r="G2">
        <v>57</v>
      </c>
      <c r="H2" s="1">
        <v>6.3712291666666671E-2</v>
      </c>
      <c r="I2">
        <v>26</v>
      </c>
      <c r="J2" t="s">
        <v>14</v>
      </c>
      <c r="K2" s="1">
        <v>1.0718518518518518E-3</v>
      </c>
    </row>
    <row r="3" spans="1:11" x14ac:dyDescent="0.3">
      <c r="A3" t="s">
        <v>11</v>
      </c>
      <c r="B3">
        <v>2</v>
      </c>
      <c r="C3">
        <v>11</v>
      </c>
      <c r="D3" t="s">
        <v>15</v>
      </c>
      <c r="E3" t="s">
        <v>13</v>
      </c>
      <c r="F3">
        <v>5</v>
      </c>
      <c r="G3">
        <v>57</v>
      </c>
      <c r="H3">
        <v>22.457000000000001</v>
      </c>
      <c r="I3">
        <v>18</v>
      </c>
      <c r="J3" t="s">
        <v>2</v>
      </c>
      <c r="K3" s="1">
        <v>1.0921759259259259E-3</v>
      </c>
    </row>
    <row r="4" spans="1:11" hidden="1" x14ac:dyDescent="0.3">
      <c r="A4" t="s">
        <v>11</v>
      </c>
      <c r="B4">
        <v>3</v>
      </c>
      <c r="C4">
        <v>55</v>
      </c>
      <c r="D4" t="s">
        <v>16</v>
      </c>
      <c r="E4" t="s">
        <v>17</v>
      </c>
      <c r="F4">
        <v>4</v>
      </c>
      <c r="G4">
        <v>57</v>
      </c>
      <c r="H4">
        <v>25.11</v>
      </c>
      <c r="I4">
        <v>15</v>
      </c>
      <c r="J4" t="s">
        <v>2</v>
      </c>
      <c r="K4" s="1">
        <v>1.0938310185185185E-3</v>
      </c>
    </row>
    <row r="5" spans="1:11" hidden="1" x14ac:dyDescent="0.3">
      <c r="A5" t="s">
        <v>11</v>
      </c>
      <c r="B5">
        <v>4</v>
      </c>
      <c r="C5">
        <v>16</v>
      </c>
      <c r="D5" t="s">
        <v>18</v>
      </c>
      <c r="E5" t="s">
        <v>17</v>
      </c>
      <c r="F5">
        <v>2</v>
      </c>
      <c r="G5">
        <v>57</v>
      </c>
      <c r="H5">
        <v>39.668999999999997</v>
      </c>
      <c r="I5">
        <v>12</v>
      </c>
      <c r="J5" t="s">
        <v>2</v>
      </c>
      <c r="K5" s="1">
        <v>1.0890046296296297E-3</v>
      </c>
    </row>
    <row r="6" spans="1:11" hidden="1" x14ac:dyDescent="0.3">
      <c r="A6" t="s">
        <v>11</v>
      </c>
      <c r="B6">
        <v>5</v>
      </c>
      <c r="C6">
        <v>63</v>
      </c>
      <c r="D6" t="s">
        <v>19</v>
      </c>
      <c r="E6" t="s">
        <v>20</v>
      </c>
      <c r="F6">
        <v>3</v>
      </c>
      <c r="G6">
        <v>57</v>
      </c>
      <c r="H6">
        <v>46.787999999999997</v>
      </c>
      <c r="I6">
        <v>10</v>
      </c>
      <c r="J6" t="s">
        <v>2</v>
      </c>
      <c r="K6" s="1">
        <v>1.1002893518518519E-3</v>
      </c>
    </row>
    <row r="7" spans="1:11" hidden="1" x14ac:dyDescent="0.3">
      <c r="A7" t="s">
        <v>11</v>
      </c>
      <c r="B7">
        <v>6</v>
      </c>
      <c r="C7">
        <v>4</v>
      </c>
      <c r="D7" t="s">
        <v>21</v>
      </c>
      <c r="E7" t="s">
        <v>22</v>
      </c>
      <c r="F7">
        <v>7</v>
      </c>
      <c r="G7">
        <v>57</v>
      </c>
      <c r="H7">
        <v>48.457999999999998</v>
      </c>
      <c r="I7">
        <v>8</v>
      </c>
      <c r="J7" t="s">
        <v>2</v>
      </c>
      <c r="K7" s="1">
        <v>1.0934722222222222E-3</v>
      </c>
    </row>
    <row r="8" spans="1:11" hidden="1" x14ac:dyDescent="0.3">
      <c r="A8" t="s">
        <v>11</v>
      </c>
      <c r="B8">
        <v>7</v>
      </c>
      <c r="C8">
        <v>44</v>
      </c>
      <c r="D8" t="s">
        <v>23</v>
      </c>
      <c r="E8" t="s">
        <v>20</v>
      </c>
      <c r="F8">
        <v>9</v>
      </c>
      <c r="G8">
        <v>57</v>
      </c>
      <c r="H8">
        <v>50.323999999999998</v>
      </c>
      <c r="I8">
        <v>6</v>
      </c>
      <c r="J8" t="s">
        <v>2</v>
      </c>
      <c r="K8" s="1">
        <v>1.0963194444444445E-3</v>
      </c>
    </row>
    <row r="9" spans="1:11" hidden="1" x14ac:dyDescent="0.3">
      <c r="A9" t="s">
        <v>11</v>
      </c>
      <c r="B9">
        <v>8</v>
      </c>
      <c r="C9">
        <v>81</v>
      </c>
      <c r="D9" t="s">
        <v>24</v>
      </c>
      <c r="E9" t="s">
        <v>22</v>
      </c>
      <c r="F9">
        <v>8</v>
      </c>
      <c r="G9">
        <v>57</v>
      </c>
      <c r="H9">
        <v>56.082000000000001</v>
      </c>
      <c r="I9">
        <v>4</v>
      </c>
      <c r="J9" t="s">
        <v>2</v>
      </c>
      <c r="K9" s="1">
        <v>1.0993402777777779E-3</v>
      </c>
    </row>
    <row r="10" spans="1:11" x14ac:dyDescent="0.3">
      <c r="A10" t="s">
        <v>45</v>
      </c>
      <c r="B10">
        <v>1</v>
      </c>
      <c r="C10">
        <v>1</v>
      </c>
      <c r="D10" t="s">
        <v>12</v>
      </c>
      <c r="E10" t="s">
        <v>13</v>
      </c>
      <c r="F10">
        <v>1</v>
      </c>
      <c r="G10">
        <v>50</v>
      </c>
      <c r="H10" s="1">
        <v>5.6056400462962966E-2</v>
      </c>
      <c r="I10">
        <v>25</v>
      </c>
      <c r="J10" t="s">
        <v>2</v>
      </c>
      <c r="K10" s="1">
        <v>1.0621875E-3</v>
      </c>
    </row>
    <row r="11" spans="1:11" x14ac:dyDescent="0.3">
      <c r="A11" t="s">
        <v>45</v>
      </c>
      <c r="B11">
        <v>2</v>
      </c>
      <c r="C11">
        <v>11</v>
      </c>
      <c r="D11" t="s">
        <v>15</v>
      </c>
      <c r="E11" t="s">
        <v>13</v>
      </c>
      <c r="F11">
        <v>3</v>
      </c>
      <c r="G11">
        <v>50</v>
      </c>
      <c r="H11">
        <v>13.643000000000001</v>
      </c>
      <c r="I11">
        <v>18</v>
      </c>
      <c r="J11" t="s">
        <v>2</v>
      </c>
      <c r="K11" s="1">
        <v>1.067974537037037E-3</v>
      </c>
    </row>
    <row r="12" spans="1:11" hidden="1" x14ac:dyDescent="0.3">
      <c r="A12" t="s">
        <v>45</v>
      </c>
      <c r="B12">
        <v>3</v>
      </c>
      <c r="C12">
        <v>16</v>
      </c>
      <c r="D12" t="s">
        <v>18</v>
      </c>
      <c r="E12" t="s">
        <v>17</v>
      </c>
      <c r="F12">
        <v>2</v>
      </c>
      <c r="G12">
        <v>50</v>
      </c>
      <c r="H12">
        <v>18.638999999999999</v>
      </c>
      <c r="I12">
        <v>16</v>
      </c>
      <c r="J12" t="s">
        <v>14</v>
      </c>
      <c r="K12" s="1">
        <v>1.0605555555555557E-3</v>
      </c>
    </row>
    <row r="13" spans="1:11" hidden="1" x14ac:dyDescent="0.3">
      <c r="A13" t="s">
        <v>45</v>
      </c>
      <c r="B13">
        <v>4</v>
      </c>
      <c r="C13">
        <v>81</v>
      </c>
      <c r="D13" t="s">
        <v>24</v>
      </c>
      <c r="E13" t="s">
        <v>22</v>
      </c>
      <c r="F13">
        <v>5</v>
      </c>
      <c r="G13">
        <v>50</v>
      </c>
      <c r="H13">
        <v>32.006999999999998</v>
      </c>
      <c r="I13">
        <v>12</v>
      </c>
      <c r="J13" t="s">
        <v>2</v>
      </c>
      <c r="K13" s="1">
        <v>1.0684027777777777E-3</v>
      </c>
    </row>
    <row r="14" spans="1:11" hidden="1" x14ac:dyDescent="0.3">
      <c r="A14" t="s">
        <v>45</v>
      </c>
      <c r="B14">
        <v>6</v>
      </c>
      <c r="C14">
        <v>63</v>
      </c>
      <c r="D14" t="s">
        <v>19</v>
      </c>
      <c r="E14" t="s">
        <v>20</v>
      </c>
      <c r="F14">
        <v>7</v>
      </c>
      <c r="G14">
        <v>50</v>
      </c>
      <c r="H14">
        <v>39.936</v>
      </c>
      <c r="I14">
        <v>8</v>
      </c>
      <c r="J14" t="s">
        <v>2</v>
      </c>
      <c r="K14" s="1">
        <v>1.0677546296296294E-3</v>
      </c>
    </row>
    <row r="15" spans="1:11" hidden="1" x14ac:dyDescent="0.3">
      <c r="A15" t="s">
        <v>45</v>
      </c>
      <c r="B15">
        <v>7</v>
      </c>
      <c r="C15">
        <v>38</v>
      </c>
      <c r="D15" t="s">
        <v>46</v>
      </c>
      <c r="E15" t="s">
        <v>17</v>
      </c>
      <c r="F15">
        <v>11</v>
      </c>
      <c r="G15">
        <v>50</v>
      </c>
      <c r="H15">
        <v>42.679000000000002</v>
      </c>
      <c r="I15">
        <v>6</v>
      </c>
      <c r="J15" t="s">
        <v>2</v>
      </c>
      <c r="K15" s="1">
        <v>1.0669675925925927E-3</v>
      </c>
    </row>
    <row r="16" spans="1:11" hidden="1" x14ac:dyDescent="0.3">
      <c r="A16" t="s">
        <v>45</v>
      </c>
      <c r="B16">
        <v>8</v>
      </c>
      <c r="C16">
        <v>4</v>
      </c>
      <c r="D16" t="s">
        <v>21</v>
      </c>
      <c r="E16" t="s">
        <v>22</v>
      </c>
      <c r="F16">
        <v>6</v>
      </c>
      <c r="G16">
        <v>50</v>
      </c>
      <c r="H16">
        <v>45.707999999999998</v>
      </c>
      <c r="I16">
        <v>4</v>
      </c>
      <c r="J16" t="s">
        <v>2</v>
      </c>
      <c r="K16" s="1">
        <v>1.0641666666666666E-3</v>
      </c>
    </row>
    <row r="17" spans="1:11" hidden="1" x14ac:dyDescent="0.3">
      <c r="A17" t="s">
        <v>45</v>
      </c>
      <c r="B17">
        <v>9</v>
      </c>
      <c r="C17">
        <v>44</v>
      </c>
      <c r="D17" t="s">
        <v>23</v>
      </c>
      <c r="E17" t="s">
        <v>20</v>
      </c>
      <c r="F17">
        <v>8</v>
      </c>
      <c r="G17">
        <v>50</v>
      </c>
      <c r="H17">
        <v>47.390999999999998</v>
      </c>
      <c r="I17">
        <v>2</v>
      </c>
      <c r="J17" t="s">
        <v>2</v>
      </c>
      <c r="K17" s="1">
        <v>1.0618749999999999E-3</v>
      </c>
    </row>
    <row r="18" spans="1:11" hidden="1" x14ac:dyDescent="0.3">
      <c r="A18" t="s">
        <v>49</v>
      </c>
      <c r="B18">
        <v>1</v>
      </c>
      <c r="C18">
        <v>55</v>
      </c>
      <c r="D18" t="s">
        <v>16</v>
      </c>
      <c r="E18" t="s">
        <v>17</v>
      </c>
      <c r="F18">
        <v>2</v>
      </c>
      <c r="G18">
        <v>58</v>
      </c>
      <c r="H18" s="1">
        <v>5.5866238425925925E-2</v>
      </c>
      <c r="I18">
        <v>25</v>
      </c>
      <c r="J18" t="s">
        <v>2</v>
      </c>
      <c r="K18" s="1">
        <v>9.2628472222222233E-4</v>
      </c>
    </row>
    <row r="19" spans="1:11" hidden="1" x14ac:dyDescent="0.3">
      <c r="A19" t="s">
        <v>49</v>
      </c>
      <c r="B19">
        <v>2</v>
      </c>
      <c r="C19">
        <v>16</v>
      </c>
      <c r="D19" t="s">
        <v>18</v>
      </c>
      <c r="E19" t="s">
        <v>17</v>
      </c>
      <c r="F19">
        <v>4</v>
      </c>
      <c r="G19">
        <v>58</v>
      </c>
      <c r="H19">
        <v>2.3660000000000001</v>
      </c>
      <c r="I19">
        <v>19</v>
      </c>
      <c r="J19" t="s">
        <v>14</v>
      </c>
      <c r="K19" s="1">
        <v>9.2376157407407413E-4</v>
      </c>
    </row>
    <row r="20" spans="1:11" hidden="1" x14ac:dyDescent="0.3">
      <c r="A20" t="s">
        <v>49</v>
      </c>
      <c r="B20">
        <v>3</v>
      </c>
      <c r="C20">
        <v>4</v>
      </c>
      <c r="D20" t="s">
        <v>21</v>
      </c>
      <c r="E20" t="s">
        <v>22</v>
      </c>
      <c r="F20">
        <v>3</v>
      </c>
      <c r="G20">
        <v>58</v>
      </c>
      <c r="H20">
        <v>5.9039999999999999</v>
      </c>
      <c r="I20">
        <v>15</v>
      </c>
      <c r="J20" t="s">
        <v>2</v>
      </c>
      <c r="K20" s="1">
        <v>9.2494212962962951E-4</v>
      </c>
    </row>
    <row r="21" spans="1:11" hidden="1" x14ac:dyDescent="0.3">
      <c r="A21" t="s">
        <v>49</v>
      </c>
      <c r="B21">
        <v>4</v>
      </c>
      <c r="C21">
        <v>81</v>
      </c>
      <c r="D21" t="s">
        <v>24</v>
      </c>
      <c r="E21" t="s">
        <v>22</v>
      </c>
      <c r="F21">
        <v>5</v>
      </c>
      <c r="G21">
        <v>58</v>
      </c>
      <c r="H21">
        <v>35.770000000000003</v>
      </c>
      <c r="I21">
        <v>12</v>
      </c>
      <c r="J21" t="s">
        <v>2</v>
      </c>
      <c r="K21" s="1">
        <v>9.2822916666666661E-4</v>
      </c>
    </row>
    <row r="22" spans="1:11" x14ac:dyDescent="0.3">
      <c r="A22" t="s">
        <v>49</v>
      </c>
      <c r="B22">
        <v>5</v>
      </c>
      <c r="C22">
        <v>11</v>
      </c>
      <c r="D22" t="s">
        <v>15</v>
      </c>
      <c r="E22" t="s">
        <v>13</v>
      </c>
      <c r="F22">
        <v>6</v>
      </c>
      <c r="G22">
        <v>58</v>
      </c>
      <c r="H22">
        <v>56.308999999999997</v>
      </c>
      <c r="I22">
        <v>10</v>
      </c>
      <c r="J22" t="s">
        <v>2</v>
      </c>
      <c r="K22" s="1">
        <v>9.3041666666666674E-4</v>
      </c>
    </row>
    <row r="23" spans="1:11" hidden="1" x14ac:dyDescent="0.3">
      <c r="A23" t="s">
        <v>49</v>
      </c>
      <c r="B23">
        <v>17</v>
      </c>
      <c r="C23">
        <v>63</v>
      </c>
      <c r="D23" t="s">
        <v>19</v>
      </c>
      <c r="E23" t="s">
        <v>20</v>
      </c>
      <c r="F23">
        <v>7</v>
      </c>
      <c r="G23">
        <v>56</v>
      </c>
      <c r="H23" t="s">
        <v>48</v>
      </c>
      <c r="I23">
        <v>0</v>
      </c>
      <c r="J23" t="s">
        <v>2</v>
      </c>
      <c r="K23" s="1">
        <v>9.2921296296296285E-4</v>
      </c>
    </row>
    <row r="24" spans="1:11" hidden="1" x14ac:dyDescent="0.3">
      <c r="A24" t="s">
        <v>49</v>
      </c>
      <c r="B24" t="s">
        <v>47</v>
      </c>
      <c r="C24">
        <v>44</v>
      </c>
      <c r="D24" t="s">
        <v>23</v>
      </c>
      <c r="E24" t="s">
        <v>20</v>
      </c>
      <c r="F24">
        <v>11</v>
      </c>
      <c r="G24">
        <v>15</v>
      </c>
      <c r="H24" t="s">
        <v>48</v>
      </c>
      <c r="I24">
        <v>0</v>
      </c>
      <c r="J24" t="s">
        <v>2</v>
      </c>
      <c r="K24" s="1">
        <v>9.5421296296296302E-4</v>
      </c>
    </row>
    <row r="25" spans="1:11" x14ac:dyDescent="0.3">
      <c r="A25" t="s">
        <v>49</v>
      </c>
      <c r="B25" t="s">
        <v>47</v>
      </c>
      <c r="C25">
        <v>1</v>
      </c>
      <c r="D25" t="s">
        <v>12</v>
      </c>
      <c r="E25" t="s">
        <v>13</v>
      </c>
      <c r="F25">
        <v>1</v>
      </c>
      <c r="G25">
        <v>3</v>
      </c>
      <c r="H25" t="s">
        <v>48</v>
      </c>
      <c r="I25">
        <v>0</v>
      </c>
      <c r="J25" t="s">
        <v>2</v>
      </c>
      <c r="K25" s="1">
        <v>9.6197916666666665E-4</v>
      </c>
    </row>
    <row r="26" spans="1:11" x14ac:dyDescent="0.3">
      <c r="A26" t="s">
        <v>50</v>
      </c>
      <c r="B26">
        <v>1</v>
      </c>
      <c r="C26">
        <v>1</v>
      </c>
      <c r="D26" t="s">
        <v>12</v>
      </c>
      <c r="E26" t="s">
        <v>13</v>
      </c>
      <c r="F26">
        <v>1</v>
      </c>
      <c r="G26">
        <v>53</v>
      </c>
      <c r="H26" s="1">
        <v>7.9439421296296289E-2</v>
      </c>
      <c r="I26">
        <v>26</v>
      </c>
      <c r="J26" t="s">
        <v>14</v>
      </c>
      <c r="K26" s="1">
        <v>1.0845601851851851E-3</v>
      </c>
    </row>
    <row r="27" spans="1:11" x14ac:dyDescent="0.3">
      <c r="A27" t="s">
        <v>50</v>
      </c>
      <c r="B27">
        <v>2</v>
      </c>
      <c r="C27">
        <v>11</v>
      </c>
      <c r="D27" t="s">
        <v>15</v>
      </c>
      <c r="E27" t="s">
        <v>13</v>
      </c>
      <c r="F27">
        <v>2</v>
      </c>
      <c r="G27">
        <v>53</v>
      </c>
      <c r="H27">
        <v>12.535</v>
      </c>
      <c r="I27">
        <v>18</v>
      </c>
      <c r="J27" t="s">
        <v>2</v>
      </c>
      <c r="K27" s="1">
        <v>1.0873263888888888E-3</v>
      </c>
    </row>
    <row r="28" spans="1:11" hidden="1" x14ac:dyDescent="0.3">
      <c r="A28" t="s">
        <v>50</v>
      </c>
      <c r="B28">
        <v>3</v>
      </c>
      <c r="C28">
        <v>55</v>
      </c>
      <c r="D28" t="s">
        <v>16</v>
      </c>
      <c r="E28" t="s">
        <v>17</v>
      </c>
      <c r="F28">
        <v>4</v>
      </c>
      <c r="G28">
        <v>53</v>
      </c>
      <c r="H28">
        <v>20.866</v>
      </c>
      <c r="I28">
        <v>15</v>
      </c>
      <c r="J28" t="s">
        <v>2</v>
      </c>
      <c r="K28" s="1">
        <v>1.0861226851851852E-3</v>
      </c>
    </row>
    <row r="29" spans="1:11" hidden="1" x14ac:dyDescent="0.3">
      <c r="A29" t="s">
        <v>50</v>
      </c>
      <c r="B29">
        <v>4</v>
      </c>
      <c r="C29">
        <v>16</v>
      </c>
      <c r="D29" t="s">
        <v>18</v>
      </c>
      <c r="E29" t="s">
        <v>17</v>
      </c>
      <c r="F29">
        <v>8</v>
      </c>
      <c r="G29">
        <v>53</v>
      </c>
      <c r="H29">
        <v>26.521999999999998</v>
      </c>
      <c r="I29">
        <v>12</v>
      </c>
      <c r="J29" t="s">
        <v>2</v>
      </c>
      <c r="K29" s="1">
        <v>1.1000462962962962E-3</v>
      </c>
    </row>
    <row r="30" spans="1:11" hidden="1" x14ac:dyDescent="0.3">
      <c r="A30" t="s">
        <v>50</v>
      </c>
      <c r="B30">
        <v>5</v>
      </c>
      <c r="C30">
        <v>4</v>
      </c>
      <c r="D30" t="s">
        <v>21</v>
      </c>
      <c r="E30" t="s">
        <v>22</v>
      </c>
      <c r="F30">
        <v>3</v>
      </c>
      <c r="G30">
        <v>53</v>
      </c>
      <c r="H30">
        <v>29.7</v>
      </c>
      <c r="I30">
        <v>10</v>
      </c>
      <c r="J30" t="s">
        <v>2</v>
      </c>
      <c r="K30" s="1">
        <v>1.1016898148148149E-3</v>
      </c>
    </row>
    <row r="31" spans="1:11" hidden="1" x14ac:dyDescent="0.3">
      <c r="A31" t="s">
        <v>50</v>
      </c>
      <c r="B31">
        <v>7</v>
      </c>
      <c r="C31">
        <v>63</v>
      </c>
      <c r="D31" t="s">
        <v>19</v>
      </c>
      <c r="E31" t="s">
        <v>20</v>
      </c>
      <c r="F31">
        <v>9</v>
      </c>
      <c r="G31">
        <v>53</v>
      </c>
      <c r="H31">
        <v>45.951000000000001</v>
      </c>
      <c r="I31">
        <v>6</v>
      </c>
      <c r="J31" t="s">
        <v>2</v>
      </c>
      <c r="K31" s="1">
        <v>1.0926388888888889E-3</v>
      </c>
    </row>
    <row r="32" spans="1:11" hidden="1" x14ac:dyDescent="0.3">
      <c r="A32" t="s">
        <v>50</v>
      </c>
      <c r="B32">
        <v>8</v>
      </c>
      <c r="C32">
        <v>81</v>
      </c>
      <c r="D32" t="s">
        <v>24</v>
      </c>
      <c r="E32" t="s">
        <v>22</v>
      </c>
      <c r="F32">
        <v>6</v>
      </c>
      <c r="G32">
        <v>53</v>
      </c>
      <c r="H32">
        <v>47.524999999999999</v>
      </c>
      <c r="I32">
        <v>4</v>
      </c>
      <c r="J32" t="s">
        <v>2</v>
      </c>
      <c r="K32" s="1">
        <v>1.0972453703703704E-3</v>
      </c>
    </row>
    <row r="33" spans="1:11" hidden="1" x14ac:dyDescent="0.3">
      <c r="A33" t="s">
        <v>50</v>
      </c>
      <c r="B33">
        <v>9</v>
      </c>
      <c r="C33">
        <v>44</v>
      </c>
      <c r="D33" t="s">
        <v>23</v>
      </c>
      <c r="E33" t="s">
        <v>20</v>
      </c>
      <c r="F33">
        <v>7</v>
      </c>
      <c r="G33">
        <v>53</v>
      </c>
      <c r="H33">
        <v>48.625999999999998</v>
      </c>
      <c r="I33">
        <v>2</v>
      </c>
      <c r="J33" t="s">
        <v>2</v>
      </c>
      <c r="K33" s="1">
        <v>1.0874074074074074E-3</v>
      </c>
    </row>
    <row r="34" spans="1:11" x14ac:dyDescent="0.3">
      <c r="A34" t="s">
        <v>51</v>
      </c>
      <c r="B34">
        <v>1</v>
      </c>
      <c r="C34">
        <v>1</v>
      </c>
      <c r="D34" t="s">
        <v>12</v>
      </c>
      <c r="E34" t="s">
        <v>13</v>
      </c>
      <c r="F34">
        <v>1</v>
      </c>
      <c r="G34">
        <v>56</v>
      </c>
      <c r="H34" s="1">
        <v>7.0052708333333338E-2</v>
      </c>
      <c r="I34">
        <v>25</v>
      </c>
      <c r="J34" t="s">
        <v>2</v>
      </c>
      <c r="K34" s="1">
        <v>1.1389583333333334E-3</v>
      </c>
    </row>
    <row r="35" spans="1:11" hidden="1" x14ac:dyDescent="0.3">
      <c r="A35" t="s">
        <v>51</v>
      </c>
      <c r="B35">
        <v>2</v>
      </c>
      <c r="C35">
        <v>4</v>
      </c>
      <c r="D35" t="s">
        <v>21</v>
      </c>
      <c r="E35" t="s">
        <v>22</v>
      </c>
      <c r="F35">
        <v>4</v>
      </c>
      <c r="G35">
        <v>56</v>
      </c>
      <c r="H35">
        <v>13.773</v>
      </c>
      <c r="I35">
        <v>18</v>
      </c>
      <c r="J35" t="s">
        <v>2</v>
      </c>
      <c r="K35" s="1">
        <v>1.1429513888888889E-3</v>
      </c>
    </row>
    <row r="36" spans="1:11" x14ac:dyDescent="0.3">
      <c r="A36" t="s">
        <v>51</v>
      </c>
      <c r="B36">
        <v>3</v>
      </c>
      <c r="C36">
        <v>11</v>
      </c>
      <c r="D36" t="s">
        <v>15</v>
      </c>
      <c r="E36" t="s">
        <v>13</v>
      </c>
      <c r="F36">
        <v>2</v>
      </c>
      <c r="G36">
        <v>56</v>
      </c>
      <c r="H36">
        <v>19.16</v>
      </c>
      <c r="I36">
        <v>15</v>
      </c>
      <c r="J36" t="s">
        <v>2</v>
      </c>
      <c r="K36" s="1">
        <v>1.1503240740740742E-3</v>
      </c>
    </row>
    <row r="37" spans="1:11" hidden="1" x14ac:dyDescent="0.3">
      <c r="A37" t="s">
        <v>51</v>
      </c>
      <c r="B37">
        <v>4</v>
      </c>
      <c r="C37">
        <v>16</v>
      </c>
      <c r="D37" t="s">
        <v>18</v>
      </c>
      <c r="E37" t="s">
        <v>17</v>
      </c>
      <c r="F37">
        <v>6</v>
      </c>
      <c r="G37">
        <v>56</v>
      </c>
      <c r="H37">
        <v>23.623000000000001</v>
      </c>
      <c r="I37">
        <v>12</v>
      </c>
      <c r="J37" t="s">
        <v>2</v>
      </c>
      <c r="K37" s="1">
        <v>1.1502777777777778E-3</v>
      </c>
    </row>
    <row r="38" spans="1:11" hidden="1" x14ac:dyDescent="0.3">
      <c r="A38" t="s">
        <v>51</v>
      </c>
      <c r="B38">
        <v>5</v>
      </c>
      <c r="C38">
        <v>55</v>
      </c>
      <c r="D38" t="s">
        <v>16</v>
      </c>
      <c r="E38" t="s">
        <v>17</v>
      </c>
      <c r="F38">
        <v>7</v>
      </c>
      <c r="G38">
        <v>56</v>
      </c>
      <c r="H38">
        <v>33.982999999999997</v>
      </c>
      <c r="I38">
        <v>10</v>
      </c>
      <c r="J38" t="s">
        <v>2</v>
      </c>
      <c r="K38" s="1">
        <v>1.154675925925926E-3</v>
      </c>
    </row>
    <row r="39" spans="1:11" hidden="1" x14ac:dyDescent="0.3">
      <c r="A39" t="s">
        <v>51</v>
      </c>
      <c r="B39">
        <v>6</v>
      </c>
      <c r="C39">
        <v>63</v>
      </c>
      <c r="D39" t="s">
        <v>19</v>
      </c>
      <c r="E39" t="s">
        <v>20</v>
      </c>
      <c r="F39">
        <v>8</v>
      </c>
      <c r="G39">
        <v>56</v>
      </c>
      <c r="H39">
        <v>38.723999999999997</v>
      </c>
      <c r="I39">
        <v>8</v>
      </c>
      <c r="J39" t="s">
        <v>2</v>
      </c>
      <c r="K39" s="1">
        <v>1.1587037037037037E-3</v>
      </c>
    </row>
    <row r="40" spans="1:11" hidden="1" x14ac:dyDescent="0.3">
      <c r="A40" t="s">
        <v>51</v>
      </c>
      <c r="B40">
        <v>8</v>
      </c>
      <c r="C40">
        <v>81</v>
      </c>
      <c r="D40" t="s">
        <v>24</v>
      </c>
      <c r="E40" t="s">
        <v>22</v>
      </c>
      <c r="F40">
        <v>5</v>
      </c>
      <c r="G40">
        <v>56</v>
      </c>
      <c r="H40">
        <v>56.198</v>
      </c>
      <c r="I40">
        <v>4</v>
      </c>
      <c r="J40" t="s">
        <v>2</v>
      </c>
      <c r="K40" s="1">
        <v>1.1543865740740742E-3</v>
      </c>
    </row>
    <row r="41" spans="1:11" hidden="1" x14ac:dyDescent="0.3">
      <c r="A41" t="s">
        <v>51</v>
      </c>
      <c r="B41">
        <v>9</v>
      </c>
      <c r="C41">
        <v>44</v>
      </c>
      <c r="D41" t="s">
        <v>23</v>
      </c>
      <c r="E41" t="s">
        <v>20</v>
      </c>
      <c r="F41">
        <v>18</v>
      </c>
      <c r="G41">
        <v>56</v>
      </c>
      <c r="H41">
        <v>57.985999999999997</v>
      </c>
      <c r="I41">
        <v>2</v>
      </c>
      <c r="J41" t="s">
        <v>2</v>
      </c>
      <c r="K41" s="1">
        <v>1.1670717592592594E-3</v>
      </c>
    </row>
    <row r="42" spans="1:11" hidden="1" x14ac:dyDescent="0.3">
      <c r="A42" t="s">
        <v>52</v>
      </c>
      <c r="B42">
        <v>1</v>
      </c>
      <c r="C42">
        <v>4</v>
      </c>
      <c r="D42" t="s">
        <v>21</v>
      </c>
      <c r="E42" t="s">
        <v>22</v>
      </c>
      <c r="F42">
        <v>5</v>
      </c>
      <c r="G42">
        <v>57</v>
      </c>
      <c r="H42" s="1">
        <v>6.3077268518518526E-2</v>
      </c>
      <c r="I42">
        <v>25</v>
      </c>
      <c r="J42" t="s">
        <v>2</v>
      </c>
      <c r="K42" s="1">
        <v>1.0530092592592594E-3</v>
      </c>
    </row>
    <row r="43" spans="1:11" x14ac:dyDescent="0.3">
      <c r="A43" t="s">
        <v>52</v>
      </c>
      <c r="B43">
        <v>2</v>
      </c>
      <c r="C43">
        <v>1</v>
      </c>
      <c r="D43" t="s">
        <v>12</v>
      </c>
      <c r="E43" t="s">
        <v>13</v>
      </c>
      <c r="F43">
        <v>1</v>
      </c>
      <c r="G43">
        <v>57</v>
      </c>
      <c r="H43">
        <v>7.6120000000000001</v>
      </c>
      <c r="I43">
        <v>18</v>
      </c>
      <c r="J43" t="s">
        <v>2</v>
      </c>
      <c r="K43" s="1">
        <v>1.056261574074074E-3</v>
      </c>
    </row>
    <row r="44" spans="1:11" hidden="1" x14ac:dyDescent="0.3">
      <c r="A44" t="s">
        <v>52</v>
      </c>
      <c r="B44">
        <v>3</v>
      </c>
      <c r="C44">
        <v>16</v>
      </c>
      <c r="D44" t="s">
        <v>18</v>
      </c>
      <c r="E44" t="s">
        <v>17</v>
      </c>
      <c r="F44">
        <v>2</v>
      </c>
      <c r="G44">
        <v>57</v>
      </c>
      <c r="H44">
        <v>9.92</v>
      </c>
      <c r="I44">
        <v>15</v>
      </c>
      <c r="J44" t="s">
        <v>2</v>
      </c>
      <c r="K44" s="1">
        <v>1.054212962962963E-3</v>
      </c>
    </row>
    <row r="45" spans="1:11" x14ac:dyDescent="0.3">
      <c r="A45" t="s">
        <v>52</v>
      </c>
      <c r="B45">
        <v>4</v>
      </c>
      <c r="C45">
        <v>11</v>
      </c>
      <c r="D45" t="s">
        <v>15</v>
      </c>
      <c r="E45" t="s">
        <v>13</v>
      </c>
      <c r="F45">
        <v>4</v>
      </c>
      <c r="G45">
        <v>57</v>
      </c>
      <c r="H45">
        <v>14.65</v>
      </c>
      <c r="I45">
        <v>12</v>
      </c>
      <c r="J45" t="s">
        <v>2</v>
      </c>
      <c r="K45" s="1">
        <v>1.0515625E-3</v>
      </c>
    </row>
    <row r="46" spans="1:11" hidden="1" x14ac:dyDescent="0.3">
      <c r="A46" t="s">
        <v>52</v>
      </c>
      <c r="B46">
        <v>5</v>
      </c>
      <c r="C46">
        <v>55</v>
      </c>
      <c r="D46" t="s">
        <v>16</v>
      </c>
      <c r="E46" t="s">
        <v>17</v>
      </c>
      <c r="F46">
        <v>3</v>
      </c>
      <c r="G46">
        <v>57</v>
      </c>
      <c r="H46">
        <v>16.407</v>
      </c>
      <c r="I46">
        <v>10</v>
      </c>
      <c r="J46" t="s">
        <v>2</v>
      </c>
      <c r="K46" s="1">
        <v>1.0524074074074073E-3</v>
      </c>
    </row>
    <row r="47" spans="1:11" hidden="1" x14ac:dyDescent="0.3">
      <c r="A47" t="s">
        <v>52</v>
      </c>
      <c r="B47">
        <v>6</v>
      </c>
      <c r="C47">
        <v>44</v>
      </c>
      <c r="D47" t="s">
        <v>23</v>
      </c>
      <c r="E47" t="s">
        <v>20</v>
      </c>
      <c r="F47">
        <v>8</v>
      </c>
      <c r="G47">
        <v>57</v>
      </c>
      <c r="H47">
        <v>16.585000000000001</v>
      </c>
      <c r="I47">
        <v>8</v>
      </c>
      <c r="J47" t="s">
        <v>2</v>
      </c>
      <c r="K47" s="1">
        <v>1.0559375E-3</v>
      </c>
    </row>
    <row r="48" spans="1:11" hidden="1" x14ac:dyDescent="0.3">
      <c r="A48" t="s">
        <v>52</v>
      </c>
      <c r="B48">
        <v>8</v>
      </c>
      <c r="C48">
        <v>63</v>
      </c>
      <c r="D48" t="s">
        <v>19</v>
      </c>
      <c r="E48" t="s">
        <v>20</v>
      </c>
      <c r="F48">
        <v>7</v>
      </c>
      <c r="G48">
        <v>57</v>
      </c>
      <c r="H48">
        <v>34.789000000000001</v>
      </c>
      <c r="I48">
        <v>4</v>
      </c>
      <c r="J48" t="s">
        <v>2</v>
      </c>
      <c r="K48" s="1">
        <v>1.0639004629629629E-3</v>
      </c>
    </row>
    <row r="49" spans="1:11" hidden="1" x14ac:dyDescent="0.3">
      <c r="A49" t="s">
        <v>52</v>
      </c>
      <c r="B49">
        <v>13</v>
      </c>
      <c r="C49">
        <v>81</v>
      </c>
      <c r="D49" t="s">
        <v>24</v>
      </c>
      <c r="E49" t="s">
        <v>22</v>
      </c>
      <c r="F49">
        <v>6</v>
      </c>
      <c r="G49">
        <v>57</v>
      </c>
      <c r="H49">
        <v>49.756</v>
      </c>
      <c r="I49">
        <v>0</v>
      </c>
      <c r="J49" t="s">
        <v>14</v>
      </c>
      <c r="K49" s="1">
        <v>1.0490046296296295E-3</v>
      </c>
    </row>
    <row r="50" spans="1:11" x14ac:dyDescent="0.3">
      <c r="A50" t="s">
        <v>53</v>
      </c>
      <c r="B50">
        <v>1</v>
      </c>
      <c r="C50">
        <v>1</v>
      </c>
      <c r="D50" t="s">
        <v>12</v>
      </c>
      <c r="E50" t="s">
        <v>13</v>
      </c>
      <c r="F50">
        <v>1</v>
      </c>
      <c r="G50">
        <v>63</v>
      </c>
      <c r="H50" s="1">
        <v>5.9320046296296301E-2</v>
      </c>
      <c r="I50">
        <v>25</v>
      </c>
      <c r="J50" t="s">
        <v>2</v>
      </c>
      <c r="K50" s="1">
        <v>9.3016203703703707E-4</v>
      </c>
    </row>
    <row r="51" spans="1:11" hidden="1" x14ac:dyDescent="0.3">
      <c r="A51" t="s">
        <v>53</v>
      </c>
      <c r="B51">
        <v>2</v>
      </c>
      <c r="C51">
        <v>4</v>
      </c>
      <c r="D51" t="s">
        <v>21</v>
      </c>
      <c r="E51" t="s">
        <v>22</v>
      </c>
      <c r="F51">
        <v>2</v>
      </c>
      <c r="G51">
        <v>63</v>
      </c>
      <c r="H51">
        <v>0.72499999999999998</v>
      </c>
      <c r="I51">
        <v>18</v>
      </c>
      <c r="J51" t="s">
        <v>2</v>
      </c>
      <c r="K51" s="1">
        <v>9.258564814814815E-4</v>
      </c>
    </row>
    <row r="52" spans="1:11" hidden="1" x14ac:dyDescent="0.3">
      <c r="A52" t="s">
        <v>53</v>
      </c>
      <c r="B52">
        <v>3</v>
      </c>
      <c r="C52">
        <v>16</v>
      </c>
      <c r="D52" t="s">
        <v>18</v>
      </c>
      <c r="E52" t="s">
        <v>17</v>
      </c>
      <c r="F52">
        <v>3</v>
      </c>
      <c r="G52">
        <v>63</v>
      </c>
      <c r="H52">
        <v>7.9160000000000004</v>
      </c>
      <c r="I52">
        <v>15</v>
      </c>
      <c r="J52" t="s">
        <v>2</v>
      </c>
      <c r="K52" s="1">
        <v>9.251736111111111E-4</v>
      </c>
    </row>
    <row r="53" spans="1:11" hidden="1" x14ac:dyDescent="0.3">
      <c r="A53" t="s">
        <v>53</v>
      </c>
      <c r="B53">
        <v>4</v>
      </c>
      <c r="C53">
        <v>81</v>
      </c>
      <c r="D53" t="s">
        <v>24</v>
      </c>
      <c r="E53" t="s">
        <v>22</v>
      </c>
      <c r="F53">
        <v>5</v>
      </c>
      <c r="G53">
        <v>63</v>
      </c>
      <c r="H53">
        <v>14.132</v>
      </c>
      <c r="I53">
        <v>12</v>
      </c>
      <c r="J53" t="s">
        <v>2</v>
      </c>
      <c r="K53" s="1">
        <v>9.2484953703703696E-4</v>
      </c>
    </row>
    <row r="54" spans="1:11" hidden="1" x14ac:dyDescent="0.3">
      <c r="A54" t="s">
        <v>53</v>
      </c>
      <c r="B54">
        <v>5</v>
      </c>
      <c r="C54">
        <v>55</v>
      </c>
      <c r="D54" t="s">
        <v>16</v>
      </c>
      <c r="E54" t="s">
        <v>17</v>
      </c>
      <c r="F54">
        <v>4</v>
      </c>
      <c r="G54">
        <v>63</v>
      </c>
      <c r="H54">
        <v>22.324999999999999</v>
      </c>
      <c r="I54">
        <v>10</v>
      </c>
      <c r="J54" t="s">
        <v>2</v>
      </c>
      <c r="K54" s="1">
        <v>9.2847222222222224E-4</v>
      </c>
    </row>
    <row r="55" spans="1:11" hidden="1" x14ac:dyDescent="0.3">
      <c r="A55" t="s">
        <v>53</v>
      </c>
      <c r="B55">
        <v>6</v>
      </c>
      <c r="C55">
        <v>44</v>
      </c>
      <c r="D55" t="s">
        <v>23</v>
      </c>
      <c r="E55" t="s">
        <v>20</v>
      </c>
      <c r="F55">
        <v>8</v>
      </c>
      <c r="G55">
        <v>63</v>
      </c>
      <c r="H55">
        <v>35.103999999999999</v>
      </c>
      <c r="I55">
        <v>8</v>
      </c>
      <c r="J55" t="s">
        <v>2</v>
      </c>
      <c r="K55" s="1">
        <v>9.2975694444444453E-4</v>
      </c>
    </row>
    <row r="56" spans="1:11" hidden="1" x14ac:dyDescent="0.3">
      <c r="A56" t="s">
        <v>53</v>
      </c>
      <c r="B56">
        <v>7</v>
      </c>
      <c r="C56">
        <v>63</v>
      </c>
      <c r="D56" t="s">
        <v>19</v>
      </c>
      <c r="E56" t="s">
        <v>20</v>
      </c>
      <c r="F56">
        <v>6</v>
      </c>
      <c r="G56">
        <v>63</v>
      </c>
      <c r="H56">
        <v>47.154000000000003</v>
      </c>
      <c r="I56">
        <v>7</v>
      </c>
      <c r="J56" t="s">
        <v>14</v>
      </c>
      <c r="K56" s="1">
        <v>9.0959490740740736E-4</v>
      </c>
    </row>
    <row r="57" spans="1:11" x14ac:dyDescent="0.3">
      <c r="A57" t="s">
        <v>53</v>
      </c>
      <c r="B57">
        <v>8</v>
      </c>
      <c r="C57">
        <v>11</v>
      </c>
      <c r="D57" t="s">
        <v>15</v>
      </c>
      <c r="E57" t="s">
        <v>13</v>
      </c>
      <c r="F57">
        <v>11</v>
      </c>
      <c r="G57">
        <v>63</v>
      </c>
      <c r="H57">
        <v>54.776000000000003</v>
      </c>
      <c r="I57">
        <v>4</v>
      </c>
      <c r="J57" t="s">
        <v>2</v>
      </c>
      <c r="K57" s="1">
        <v>9.2229166666666675E-4</v>
      </c>
    </row>
    <row r="58" spans="1:11" hidden="1" x14ac:dyDescent="0.3">
      <c r="A58" t="s">
        <v>54</v>
      </c>
      <c r="B58">
        <v>1</v>
      </c>
      <c r="C58">
        <v>16</v>
      </c>
      <c r="D58" t="s">
        <v>18</v>
      </c>
      <c r="E58" t="s">
        <v>17</v>
      </c>
      <c r="F58">
        <v>1</v>
      </c>
      <c r="G58">
        <v>78</v>
      </c>
      <c r="H58" s="1">
        <v>9.9485578703703711E-2</v>
      </c>
      <c r="I58">
        <v>25</v>
      </c>
      <c r="J58" t="s">
        <v>2</v>
      </c>
      <c r="K58" s="1">
        <v>8.6993055555555565E-4</v>
      </c>
    </row>
    <row r="59" spans="1:11" hidden="1" x14ac:dyDescent="0.3">
      <c r="A59" t="s">
        <v>54</v>
      </c>
      <c r="B59">
        <v>2</v>
      </c>
      <c r="C59">
        <v>81</v>
      </c>
      <c r="D59" t="s">
        <v>24</v>
      </c>
      <c r="E59" t="s">
        <v>22</v>
      </c>
      <c r="F59">
        <v>2</v>
      </c>
      <c r="G59">
        <v>78</v>
      </c>
      <c r="H59">
        <v>7.1520000000000001</v>
      </c>
      <c r="I59">
        <v>18</v>
      </c>
      <c r="J59" t="s">
        <v>2</v>
      </c>
      <c r="K59" s="1">
        <v>8.8288194444444449E-4</v>
      </c>
    </row>
    <row r="60" spans="1:11" hidden="1" x14ac:dyDescent="0.3">
      <c r="A60" t="s">
        <v>54</v>
      </c>
      <c r="B60">
        <v>3</v>
      </c>
      <c r="C60">
        <v>55</v>
      </c>
      <c r="D60" t="s">
        <v>16</v>
      </c>
      <c r="E60" t="s">
        <v>17</v>
      </c>
      <c r="F60">
        <v>3</v>
      </c>
      <c r="G60">
        <v>78</v>
      </c>
      <c r="H60">
        <v>7.585</v>
      </c>
      <c r="I60">
        <v>15</v>
      </c>
      <c r="J60" t="s">
        <v>2</v>
      </c>
      <c r="K60" s="1">
        <v>8.6488425925925925E-4</v>
      </c>
    </row>
    <row r="61" spans="1:11" hidden="1" x14ac:dyDescent="0.3">
      <c r="A61" t="s">
        <v>54</v>
      </c>
      <c r="B61">
        <v>4</v>
      </c>
      <c r="C61">
        <v>4</v>
      </c>
      <c r="D61" t="s">
        <v>21</v>
      </c>
      <c r="E61" t="s">
        <v>22</v>
      </c>
      <c r="F61">
        <v>4</v>
      </c>
      <c r="G61">
        <v>78</v>
      </c>
      <c r="H61">
        <v>8.65</v>
      </c>
      <c r="I61">
        <v>12</v>
      </c>
      <c r="J61" t="s">
        <v>2</v>
      </c>
      <c r="K61" s="1">
        <v>8.7664351851851857E-4</v>
      </c>
    </row>
    <row r="62" spans="1:11" hidden="1" x14ac:dyDescent="0.3">
      <c r="A62" t="s">
        <v>54</v>
      </c>
      <c r="B62">
        <v>5</v>
      </c>
      <c r="C62">
        <v>63</v>
      </c>
      <c r="D62" t="s">
        <v>19</v>
      </c>
      <c r="E62" t="s">
        <v>20</v>
      </c>
      <c r="F62">
        <v>5</v>
      </c>
      <c r="G62">
        <v>78</v>
      </c>
      <c r="H62">
        <v>13.308999999999999</v>
      </c>
      <c r="I62">
        <v>10</v>
      </c>
      <c r="J62" t="s">
        <v>2</v>
      </c>
      <c r="K62" s="1">
        <v>8.7069444444444434E-4</v>
      </c>
    </row>
    <row r="63" spans="1:11" x14ac:dyDescent="0.3">
      <c r="A63" t="s">
        <v>54</v>
      </c>
      <c r="B63">
        <v>6</v>
      </c>
      <c r="C63">
        <v>1</v>
      </c>
      <c r="D63" t="s">
        <v>12</v>
      </c>
      <c r="E63" t="s">
        <v>13</v>
      </c>
      <c r="F63">
        <v>6</v>
      </c>
      <c r="G63">
        <v>78</v>
      </c>
      <c r="H63">
        <v>13.853</v>
      </c>
      <c r="I63">
        <v>8</v>
      </c>
      <c r="J63" t="s">
        <v>2</v>
      </c>
      <c r="K63" s="1">
        <v>8.6306712962962964E-4</v>
      </c>
    </row>
    <row r="64" spans="1:11" hidden="1" x14ac:dyDescent="0.3">
      <c r="A64" t="s">
        <v>54</v>
      </c>
      <c r="B64">
        <v>7</v>
      </c>
      <c r="C64">
        <v>44</v>
      </c>
      <c r="D64" t="s">
        <v>23</v>
      </c>
      <c r="E64" t="s">
        <v>20</v>
      </c>
      <c r="F64">
        <v>7</v>
      </c>
      <c r="G64">
        <v>78</v>
      </c>
      <c r="H64">
        <v>14.907999999999999</v>
      </c>
      <c r="I64">
        <v>7</v>
      </c>
      <c r="J64" t="s">
        <v>14</v>
      </c>
      <c r="K64" s="1">
        <v>8.5839120370370366E-4</v>
      </c>
    </row>
    <row r="65" spans="1:11" x14ac:dyDescent="0.3">
      <c r="A65" t="s">
        <v>54</v>
      </c>
      <c r="B65" t="s">
        <v>47</v>
      </c>
      <c r="C65">
        <v>11</v>
      </c>
      <c r="D65" t="s">
        <v>15</v>
      </c>
      <c r="E65" t="s">
        <v>13</v>
      </c>
      <c r="F65">
        <v>16</v>
      </c>
      <c r="G65">
        <v>0</v>
      </c>
      <c r="H65" t="s">
        <v>48</v>
      </c>
      <c r="I65">
        <v>0</v>
      </c>
      <c r="J65" t="s">
        <v>2</v>
      </c>
    </row>
    <row r="66" spans="1:11" x14ac:dyDescent="0.3">
      <c r="A66" t="s">
        <v>55</v>
      </c>
      <c r="B66">
        <v>1</v>
      </c>
      <c r="C66">
        <v>1</v>
      </c>
      <c r="D66" t="s">
        <v>12</v>
      </c>
      <c r="E66" t="s">
        <v>13</v>
      </c>
      <c r="F66">
        <v>2</v>
      </c>
      <c r="G66">
        <v>70</v>
      </c>
      <c r="H66" s="1">
        <v>7.3471377314814817E-2</v>
      </c>
      <c r="I66">
        <v>25</v>
      </c>
      <c r="J66" t="s">
        <v>2</v>
      </c>
      <c r="K66" s="1">
        <v>8.7464120370370376E-4</v>
      </c>
    </row>
    <row r="67" spans="1:11" hidden="1" x14ac:dyDescent="0.3">
      <c r="A67" t="s">
        <v>55</v>
      </c>
      <c r="B67">
        <v>2</v>
      </c>
      <c r="C67">
        <v>4</v>
      </c>
      <c r="D67" t="s">
        <v>21</v>
      </c>
      <c r="E67" t="s">
        <v>22</v>
      </c>
      <c r="F67">
        <v>3</v>
      </c>
      <c r="G67">
        <v>70</v>
      </c>
      <c r="H67">
        <v>3.879</v>
      </c>
      <c r="I67">
        <v>18</v>
      </c>
      <c r="J67" t="s">
        <v>2</v>
      </c>
      <c r="K67" s="1">
        <v>8.7451388888888876E-4</v>
      </c>
    </row>
    <row r="68" spans="1:11" hidden="1" x14ac:dyDescent="0.3">
      <c r="A68" t="s">
        <v>55</v>
      </c>
      <c r="B68">
        <v>3</v>
      </c>
      <c r="C68">
        <v>63</v>
      </c>
      <c r="D68" t="s">
        <v>19</v>
      </c>
      <c r="E68" t="s">
        <v>20</v>
      </c>
      <c r="F68">
        <v>1</v>
      </c>
      <c r="G68">
        <v>70</v>
      </c>
      <c r="H68">
        <v>4.3170000000000002</v>
      </c>
      <c r="I68">
        <v>15</v>
      </c>
      <c r="J68" t="s">
        <v>2</v>
      </c>
      <c r="K68" s="1">
        <v>8.6684027777777768E-4</v>
      </c>
    </row>
    <row r="69" spans="1:11" hidden="1" x14ac:dyDescent="0.3">
      <c r="A69" t="s">
        <v>55</v>
      </c>
      <c r="B69">
        <v>4</v>
      </c>
      <c r="C69">
        <v>44</v>
      </c>
      <c r="D69" t="s">
        <v>23</v>
      </c>
      <c r="E69" t="s">
        <v>20</v>
      </c>
      <c r="F69">
        <v>7</v>
      </c>
      <c r="G69">
        <v>70</v>
      </c>
      <c r="H69">
        <v>4.915</v>
      </c>
      <c r="I69">
        <v>13</v>
      </c>
      <c r="J69" t="s">
        <v>14</v>
      </c>
      <c r="K69" s="1">
        <v>8.6638888888888887E-4</v>
      </c>
    </row>
    <row r="70" spans="1:11" hidden="1" x14ac:dyDescent="0.3">
      <c r="A70" t="s">
        <v>55</v>
      </c>
      <c r="B70">
        <v>5</v>
      </c>
      <c r="C70">
        <v>81</v>
      </c>
      <c r="D70" t="s">
        <v>24</v>
      </c>
      <c r="E70" t="s">
        <v>22</v>
      </c>
      <c r="F70">
        <v>4</v>
      </c>
      <c r="G70">
        <v>70</v>
      </c>
      <c r="H70">
        <v>10.199</v>
      </c>
      <c r="I70">
        <v>10</v>
      </c>
      <c r="J70" t="s">
        <v>2</v>
      </c>
      <c r="K70" s="1">
        <v>8.8248842592592589E-4</v>
      </c>
    </row>
    <row r="71" spans="1:11" hidden="1" x14ac:dyDescent="0.3">
      <c r="A71" t="s">
        <v>55</v>
      </c>
      <c r="B71" t="s">
        <v>47</v>
      </c>
      <c r="C71">
        <v>55</v>
      </c>
      <c r="D71" t="s">
        <v>16</v>
      </c>
      <c r="E71" t="s">
        <v>17</v>
      </c>
      <c r="F71">
        <v>12</v>
      </c>
      <c r="G71">
        <v>52</v>
      </c>
      <c r="H71" t="s">
        <v>48</v>
      </c>
      <c r="I71">
        <v>0</v>
      </c>
      <c r="J71" t="s">
        <v>2</v>
      </c>
      <c r="K71" s="1">
        <v>9.1385416666666655E-4</v>
      </c>
    </row>
    <row r="72" spans="1:11" x14ac:dyDescent="0.3">
      <c r="A72" t="s">
        <v>55</v>
      </c>
      <c r="B72" t="s">
        <v>47</v>
      </c>
      <c r="C72">
        <v>11</v>
      </c>
      <c r="D72" t="s">
        <v>15</v>
      </c>
      <c r="E72" t="s">
        <v>13</v>
      </c>
      <c r="F72">
        <v>16</v>
      </c>
      <c r="G72">
        <v>51</v>
      </c>
      <c r="H72" t="s">
        <v>48</v>
      </c>
      <c r="I72">
        <v>0</v>
      </c>
      <c r="J72" t="s">
        <v>2</v>
      </c>
      <c r="K72" s="1">
        <v>9.1225694444444449E-4</v>
      </c>
    </row>
    <row r="73" spans="1:11" hidden="1" x14ac:dyDescent="0.3">
      <c r="A73" t="s">
        <v>55</v>
      </c>
      <c r="B73" t="s">
        <v>47</v>
      </c>
      <c r="C73">
        <v>16</v>
      </c>
      <c r="D73" t="s">
        <v>18</v>
      </c>
      <c r="E73" t="s">
        <v>17</v>
      </c>
      <c r="F73">
        <v>11</v>
      </c>
      <c r="G73">
        <v>40</v>
      </c>
      <c r="H73" t="s">
        <v>48</v>
      </c>
      <c r="I73">
        <v>0</v>
      </c>
      <c r="J73" t="s">
        <v>2</v>
      </c>
      <c r="K73" s="1">
        <v>9.9550925925925935E-4</v>
      </c>
    </row>
    <row r="74" spans="1:11" x14ac:dyDescent="0.3">
      <c r="A74" t="s">
        <v>56</v>
      </c>
      <c r="B74">
        <v>1</v>
      </c>
      <c r="C74">
        <v>1</v>
      </c>
      <c r="D74" t="s">
        <v>12</v>
      </c>
      <c r="E74" t="s">
        <v>13</v>
      </c>
      <c r="F74">
        <v>2</v>
      </c>
      <c r="G74">
        <v>66</v>
      </c>
      <c r="H74" s="1">
        <v>6.1345219907407406E-2</v>
      </c>
      <c r="I74">
        <v>25</v>
      </c>
      <c r="J74" t="s">
        <v>2</v>
      </c>
      <c r="K74" s="1">
        <v>9.0018518518518518E-4</v>
      </c>
    </row>
    <row r="75" spans="1:11" hidden="1" x14ac:dyDescent="0.3">
      <c r="A75" t="s">
        <v>56</v>
      </c>
      <c r="B75">
        <v>2</v>
      </c>
      <c r="C75">
        <v>4</v>
      </c>
      <c r="D75" t="s">
        <v>21</v>
      </c>
      <c r="E75" t="s">
        <v>22</v>
      </c>
      <c r="F75">
        <v>1</v>
      </c>
      <c r="G75">
        <v>66</v>
      </c>
      <c r="H75">
        <v>2.2189999999999999</v>
      </c>
      <c r="I75">
        <v>19</v>
      </c>
      <c r="J75" t="s">
        <v>14</v>
      </c>
      <c r="K75" s="1">
        <v>8.9253472222222219E-4</v>
      </c>
    </row>
    <row r="76" spans="1:11" hidden="1" x14ac:dyDescent="0.3">
      <c r="A76" t="s">
        <v>56</v>
      </c>
      <c r="B76">
        <v>3</v>
      </c>
      <c r="C76">
        <v>44</v>
      </c>
      <c r="D76" t="s">
        <v>23</v>
      </c>
      <c r="E76" t="s">
        <v>20</v>
      </c>
      <c r="F76">
        <v>3</v>
      </c>
      <c r="G76">
        <v>66</v>
      </c>
      <c r="H76">
        <v>17.79</v>
      </c>
      <c r="I76">
        <v>15</v>
      </c>
      <c r="J76" t="s">
        <v>2</v>
      </c>
      <c r="K76" s="1">
        <v>9.0056712962962963E-4</v>
      </c>
    </row>
    <row r="77" spans="1:11" hidden="1" x14ac:dyDescent="0.3">
      <c r="A77" t="s">
        <v>56</v>
      </c>
      <c r="B77">
        <v>4</v>
      </c>
      <c r="C77">
        <v>63</v>
      </c>
      <c r="D77" t="s">
        <v>19</v>
      </c>
      <c r="E77" t="s">
        <v>20</v>
      </c>
      <c r="F77">
        <v>4</v>
      </c>
      <c r="G77">
        <v>66</v>
      </c>
      <c r="H77">
        <v>22.32</v>
      </c>
      <c r="I77">
        <v>12</v>
      </c>
      <c r="J77" t="s">
        <v>2</v>
      </c>
      <c r="K77" s="1">
        <v>9.061342592592592E-4</v>
      </c>
    </row>
    <row r="78" spans="1:11" hidden="1" x14ac:dyDescent="0.3">
      <c r="A78" t="s">
        <v>56</v>
      </c>
      <c r="B78">
        <v>5</v>
      </c>
      <c r="C78">
        <v>16</v>
      </c>
      <c r="D78" t="s">
        <v>18</v>
      </c>
      <c r="E78" t="s">
        <v>17</v>
      </c>
      <c r="F78">
        <v>5</v>
      </c>
      <c r="G78">
        <v>66</v>
      </c>
      <c r="H78">
        <v>22.709</v>
      </c>
      <c r="I78">
        <v>10</v>
      </c>
      <c r="J78" t="s">
        <v>2</v>
      </c>
      <c r="K78" s="1">
        <v>9.0158564814814799E-4</v>
      </c>
    </row>
    <row r="79" spans="1:11" hidden="1" x14ac:dyDescent="0.3">
      <c r="A79" t="s">
        <v>56</v>
      </c>
      <c r="B79">
        <v>6</v>
      </c>
      <c r="C79">
        <v>55</v>
      </c>
      <c r="D79" t="s">
        <v>16</v>
      </c>
      <c r="E79" t="s">
        <v>17</v>
      </c>
      <c r="F79">
        <v>6</v>
      </c>
      <c r="G79">
        <v>66</v>
      </c>
      <c r="H79">
        <v>31.027999999999999</v>
      </c>
      <c r="I79">
        <v>8</v>
      </c>
      <c r="J79" t="s">
        <v>2</v>
      </c>
      <c r="K79" s="1">
        <v>9.0901620370370377E-4</v>
      </c>
    </row>
    <row r="80" spans="1:11" hidden="1" x14ac:dyDescent="0.3">
      <c r="A80" t="s">
        <v>56</v>
      </c>
      <c r="B80">
        <v>7</v>
      </c>
      <c r="C80">
        <v>81</v>
      </c>
      <c r="D80" t="s">
        <v>24</v>
      </c>
      <c r="E80" t="s">
        <v>22</v>
      </c>
      <c r="F80">
        <v>9</v>
      </c>
      <c r="G80">
        <v>66</v>
      </c>
      <c r="H80">
        <v>33.76</v>
      </c>
      <c r="I80">
        <v>6</v>
      </c>
      <c r="J80" t="s">
        <v>2</v>
      </c>
      <c r="K80" s="1">
        <v>9.0131944444444439E-4</v>
      </c>
    </row>
    <row r="81" spans="1:11" x14ac:dyDescent="0.3">
      <c r="A81" t="s">
        <v>56</v>
      </c>
      <c r="B81">
        <v>8</v>
      </c>
      <c r="C81">
        <v>11</v>
      </c>
      <c r="D81" t="s">
        <v>15</v>
      </c>
      <c r="E81" t="s">
        <v>13</v>
      </c>
      <c r="F81">
        <v>11</v>
      </c>
      <c r="G81">
        <v>66</v>
      </c>
      <c r="H81">
        <v>59.524000000000001</v>
      </c>
      <c r="I81">
        <v>4</v>
      </c>
      <c r="J81" t="s">
        <v>2</v>
      </c>
      <c r="K81" s="1">
        <v>9.0028935185185177E-4</v>
      </c>
    </row>
    <row r="82" spans="1:11" hidden="1" x14ac:dyDescent="0.3">
      <c r="A82" t="s">
        <v>57</v>
      </c>
      <c r="B82">
        <v>1</v>
      </c>
      <c r="C82">
        <v>63</v>
      </c>
      <c r="D82" t="s">
        <v>19</v>
      </c>
      <c r="E82" t="s">
        <v>20</v>
      </c>
      <c r="F82">
        <v>3</v>
      </c>
      <c r="G82">
        <v>71</v>
      </c>
      <c r="H82" s="1">
        <v>5.8597199074074069E-2</v>
      </c>
      <c r="I82">
        <v>25</v>
      </c>
      <c r="J82" t="s">
        <v>2</v>
      </c>
      <c r="K82" s="1">
        <v>8.0050925925925927E-4</v>
      </c>
    </row>
    <row r="83" spans="1:11" hidden="1" x14ac:dyDescent="0.3">
      <c r="A83" t="s">
        <v>57</v>
      </c>
      <c r="B83">
        <v>2</v>
      </c>
      <c r="C83">
        <v>81</v>
      </c>
      <c r="D83" t="s">
        <v>24</v>
      </c>
      <c r="E83" t="s">
        <v>22</v>
      </c>
      <c r="F83">
        <v>7</v>
      </c>
      <c r="G83">
        <v>71</v>
      </c>
      <c r="H83">
        <v>1.9059999999999999</v>
      </c>
      <c r="I83">
        <v>18</v>
      </c>
      <c r="J83" t="s">
        <v>2</v>
      </c>
      <c r="K83" s="1">
        <v>7.9510416666666672E-4</v>
      </c>
    </row>
    <row r="84" spans="1:11" hidden="1" x14ac:dyDescent="0.3">
      <c r="A84" t="s">
        <v>57</v>
      </c>
      <c r="B84">
        <v>3</v>
      </c>
      <c r="C84">
        <v>55</v>
      </c>
      <c r="D84" t="s">
        <v>16</v>
      </c>
      <c r="E84" t="s">
        <v>17</v>
      </c>
      <c r="F84">
        <v>4</v>
      </c>
      <c r="G84">
        <v>71</v>
      </c>
      <c r="H84">
        <v>4.5330000000000004</v>
      </c>
      <c r="I84">
        <v>15</v>
      </c>
      <c r="J84" t="s">
        <v>2</v>
      </c>
      <c r="K84" s="1">
        <v>8.0187499999999996E-4</v>
      </c>
    </row>
    <row r="85" spans="1:11" hidden="1" x14ac:dyDescent="0.3">
      <c r="A85" t="s">
        <v>57</v>
      </c>
      <c r="B85">
        <v>4</v>
      </c>
      <c r="C85">
        <v>44</v>
      </c>
      <c r="D85" t="s">
        <v>23</v>
      </c>
      <c r="E85" t="s">
        <v>20</v>
      </c>
      <c r="F85">
        <v>5</v>
      </c>
      <c r="G85">
        <v>71</v>
      </c>
      <c r="H85">
        <v>23.141999999999999</v>
      </c>
      <c r="I85">
        <v>12</v>
      </c>
      <c r="J85" t="s">
        <v>2</v>
      </c>
      <c r="K85" s="1">
        <v>8.0511574074074068E-4</v>
      </c>
    </row>
    <row r="86" spans="1:11" x14ac:dyDescent="0.3">
      <c r="A86" t="s">
        <v>57</v>
      </c>
      <c r="B86">
        <v>5</v>
      </c>
      <c r="C86">
        <v>1</v>
      </c>
      <c r="D86" t="s">
        <v>12</v>
      </c>
      <c r="E86" t="s">
        <v>13</v>
      </c>
      <c r="F86">
        <v>1</v>
      </c>
      <c r="G86">
        <v>71</v>
      </c>
      <c r="H86">
        <v>37.253</v>
      </c>
      <c r="I86">
        <v>10</v>
      </c>
      <c r="J86" t="s">
        <v>2</v>
      </c>
      <c r="K86" s="1">
        <v>7.8378472222222217E-4</v>
      </c>
    </row>
    <row r="87" spans="1:11" x14ac:dyDescent="0.3">
      <c r="A87" t="s">
        <v>57</v>
      </c>
      <c r="B87">
        <v>7</v>
      </c>
      <c r="C87">
        <v>11</v>
      </c>
      <c r="D87" t="s">
        <v>15</v>
      </c>
      <c r="E87" t="s">
        <v>13</v>
      </c>
      <c r="F87">
        <v>8</v>
      </c>
      <c r="G87">
        <v>71</v>
      </c>
      <c r="H87">
        <v>54.671999999999997</v>
      </c>
      <c r="I87">
        <v>6</v>
      </c>
      <c r="J87" t="s">
        <v>2</v>
      </c>
      <c r="K87" s="1">
        <v>8.0664351851851849E-4</v>
      </c>
    </row>
    <row r="88" spans="1:11" hidden="1" x14ac:dyDescent="0.3">
      <c r="A88" t="s">
        <v>57</v>
      </c>
      <c r="B88">
        <v>11</v>
      </c>
      <c r="C88">
        <v>16</v>
      </c>
      <c r="D88" t="s">
        <v>18</v>
      </c>
      <c r="E88" t="s">
        <v>17</v>
      </c>
      <c r="F88">
        <v>6</v>
      </c>
      <c r="G88">
        <v>71</v>
      </c>
      <c r="H88">
        <v>67.055999999999997</v>
      </c>
      <c r="I88">
        <v>0</v>
      </c>
      <c r="J88" t="s">
        <v>2</v>
      </c>
      <c r="K88" s="1">
        <v>8.0537037037037035E-4</v>
      </c>
    </row>
    <row r="89" spans="1:11" hidden="1" x14ac:dyDescent="0.3">
      <c r="A89" t="s">
        <v>57</v>
      </c>
      <c r="B89">
        <v>20</v>
      </c>
      <c r="C89">
        <v>4</v>
      </c>
      <c r="D89" t="s">
        <v>21</v>
      </c>
      <c r="E89" t="s">
        <v>22</v>
      </c>
      <c r="F89">
        <v>2</v>
      </c>
      <c r="G89">
        <v>64</v>
      </c>
      <c r="H89" t="s">
        <v>58</v>
      </c>
      <c r="I89">
        <v>0</v>
      </c>
      <c r="J89" t="s">
        <v>2</v>
      </c>
      <c r="K89" s="1">
        <v>7.8722222222222225E-4</v>
      </c>
    </row>
    <row r="90" spans="1:11" hidden="1" x14ac:dyDescent="0.3">
      <c r="A90" t="s">
        <v>59</v>
      </c>
      <c r="B90">
        <v>1</v>
      </c>
      <c r="C90">
        <v>44</v>
      </c>
      <c r="D90" t="s">
        <v>23</v>
      </c>
      <c r="E90" t="s">
        <v>20</v>
      </c>
      <c r="F90">
        <v>2</v>
      </c>
      <c r="G90">
        <v>52</v>
      </c>
      <c r="H90" s="1">
        <v>5.7257627314814818E-2</v>
      </c>
      <c r="I90">
        <v>25</v>
      </c>
      <c r="J90" t="s">
        <v>2</v>
      </c>
      <c r="K90" s="1">
        <v>1.0351620370370371E-3</v>
      </c>
    </row>
    <row r="91" spans="1:11" x14ac:dyDescent="0.3">
      <c r="A91" t="s">
        <v>59</v>
      </c>
      <c r="B91">
        <v>2</v>
      </c>
      <c r="C91">
        <v>1</v>
      </c>
      <c r="D91" t="s">
        <v>12</v>
      </c>
      <c r="E91" t="s">
        <v>13</v>
      </c>
      <c r="F91">
        <v>4</v>
      </c>
      <c r="G91">
        <v>52</v>
      </c>
      <c r="H91">
        <v>1.4650000000000001</v>
      </c>
      <c r="I91">
        <v>18</v>
      </c>
      <c r="J91" t="s">
        <v>2</v>
      </c>
      <c r="K91" s="1">
        <v>1.0295370370370369E-3</v>
      </c>
    </row>
    <row r="92" spans="1:11" hidden="1" x14ac:dyDescent="0.3">
      <c r="A92" t="s">
        <v>59</v>
      </c>
      <c r="B92">
        <v>3</v>
      </c>
      <c r="C92">
        <v>4</v>
      </c>
      <c r="D92" t="s">
        <v>21</v>
      </c>
      <c r="E92" t="s">
        <v>22</v>
      </c>
      <c r="F92">
        <v>3</v>
      </c>
      <c r="G92">
        <v>52</v>
      </c>
      <c r="H92">
        <v>7.5469999999999997</v>
      </c>
      <c r="I92">
        <v>15</v>
      </c>
      <c r="J92" t="s">
        <v>2</v>
      </c>
      <c r="K92" s="1">
        <v>1.033125E-3</v>
      </c>
    </row>
    <row r="93" spans="1:11" hidden="1" x14ac:dyDescent="0.3">
      <c r="A93" t="s">
        <v>59</v>
      </c>
      <c r="B93">
        <v>4</v>
      </c>
      <c r="C93">
        <v>81</v>
      </c>
      <c r="D93" t="s">
        <v>24</v>
      </c>
      <c r="E93" t="s">
        <v>22</v>
      </c>
      <c r="F93">
        <v>5</v>
      </c>
      <c r="G93">
        <v>52</v>
      </c>
      <c r="H93">
        <v>12.429</v>
      </c>
      <c r="I93">
        <v>12</v>
      </c>
      <c r="J93" t="s">
        <v>2</v>
      </c>
      <c r="K93" s="1">
        <v>1.027175925925926E-3</v>
      </c>
    </row>
    <row r="94" spans="1:11" hidden="1" x14ac:dyDescent="0.3">
      <c r="A94" t="s">
        <v>59</v>
      </c>
      <c r="B94">
        <v>5</v>
      </c>
      <c r="C94">
        <v>55</v>
      </c>
      <c r="D94" t="s">
        <v>16</v>
      </c>
      <c r="E94" t="s">
        <v>17</v>
      </c>
      <c r="F94">
        <v>7</v>
      </c>
      <c r="G94">
        <v>52</v>
      </c>
      <c r="H94">
        <v>47.317999999999998</v>
      </c>
      <c r="I94">
        <v>11</v>
      </c>
      <c r="J94" t="s">
        <v>14</v>
      </c>
      <c r="K94" s="1">
        <v>1.0219097222222222E-3</v>
      </c>
    </row>
    <row r="95" spans="1:11" hidden="1" x14ac:dyDescent="0.3">
      <c r="A95" t="s">
        <v>59</v>
      </c>
      <c r="B95">
        <v>14</v>
      </c>
      <c r="C95">
        <v>16</v>
      </c>
      <c r="D95" t="s">
        <v>18</v>
      </c>
      <c r="E95" t="s">
        <v>17</v>
      </c>
      <c r="F95">
        <v>11</v>
      </c>
      <c r="G95">
        <v>51</v>
      </c>
      <c r="H95" t="s">
        <v>30</v>
      </c>
      <c r="I95">
        <v>0</v>
      </c>
      <c r="J95" t="s">
        <v>2</v>
      </c>
      <c r="K95" s="1">
        <v>1.03875E-3</v>
      </c>
    </row>
    <row r="96" spans="1:11" x14ac:dyDescent="0.3">
      <c r="A96" t="s">
        <v>59</v>
      </c>
      <c r="B96">
        <v>17</v>
      </c>
      <c r="C96">
        <v>11</v>
      </c>
      <c r="D96" t="s">
        <v>15</v>
      </c>
      <c r="E96" t="s">
        <v>13</v>
      </c>
      <c r="F96">
        <v>20</v>
      </c>
      <c r="G96">
        <v>50</v>
      </c>
      <c r="H96" t="s">
        <v>44</v>
      </c>
      <c r="I96">
        <v>0</v>
      </c>
      <c r="J96" t="s">
        <v>2</v>
      </c>
      <c r="K96" s="1">
        <v>1.0382754629629628E-3</v>
      </c>
    </row>
    <row r="97" spans="1:11" hidden="1" x14ac:dyDescent="0.3">
      <c r="A97" t="s">
        <v>59</v>
      </c>
      <c r="B97" t="s">
        <v>47</v>
      </c>
      <c r="C97">
        <v>63</v>
      </c>
      <c r="D97" t="s">
        <v>19</v>
      </c>
      <c r="E97" t="s">
        <v>20</v>
      </c>
      <c r="F97">
        <v>1</v>
      </c>
      <c r="G97">
        <v>33</v>
      </c>
      <c r="H97" t="s">
        <v>48</v>
      </c>
      <c r="I97">
        <v>0</v>
      </c>
      <c r="J97" t="s">
        <v>2</v>
      </c>
      <c r="K97" s="1">
        <v>1.0566898148148148E-3</v>
      </c>
    </row>
    <row r="98" spans="1:11" hidden="1" x14ac:dyDescent="0.3">
      <c r="A98" t="s">
        <v>61</v>
      </c>
      <c r="B98">
        <v>1</v>
      </c>
      <c r="C98">
        <v>81</v>
      </c>
      <c r="D98" t="s">
        <v>24</v>
      </c>
      <c r="E98" t="s">
        <v>22</v>
      </c>
      <c r="F98">
        <v>2</v>
      </c>
      <c r="G98">
        <v>70</v>
      </c>
      <c r="H98" s="1">
        <v>6.8078576388888881E-2</v>
      </c>
      <c r="I98">
        <v>25</v>
      </c>
      <c r="J98" t="s">
        <v>2</v>
      </c>
      <c r="K98" s="1">
        <v>9.4578703703703708E-4</v>
      </c>
    </row>
    <row r="99" spans="1:11" hidden="1" x14ac:dyDescent="0.3">
      <c r="A99" t="s">
        <v>61</v>
      </c>
      <c r="B99">
        <v>2</v>
      </c>
      <c r="C99">
        <v>4</v>
      </c>
      <c r="D99" t="s">
        <v>21</v>
      </c>
      <c r="E99" t="s">
        <v>22</v>
      </c>
      <c r="F99">
        <v>1</v>
      </c>
      <c r="G99">
        <v>70</v>
      </c>
      <c r="H99">
        <v>2.141</v>
      </c>
      <c r="I99">
        <v>18</v>
      </c>
      <c r="J99" t="s">
        <v>2</v>
      </c>
      <c r="K99" s="1">
        <v>9.4574074074074081E-4</v>
      </c>
    </row>
    <row r="100" spans="1:11" hidden="1" x14ac:dyDescent="0.3">
      <c r="A100" t="s">
        <v>61</v>
      </c>
      <c r="B100">
        <v>3</v>
      </c>
      <c r="C100">
        <v>44</v>
      </c>
      <c r="D100" t="s">
        <v>23</v>
      </c>
      <c r="E100" t="s">
        <v>20</v>
      </c>
      <c r="F100">
        <v>5</v>
      </c>
      <c r="G100">
        <v>70</v>
      </c>
      <c r="H100">
        <v>14.88</v>
      </c>
      <c r="I100">
        <v>15</v>
      </c>
      <c r="J100" t="s">
        <v>2</v>
      </c>
      <c r="K100" s="1">
        <v>9.508449074074073E-4</v>
      </c>
    </row>
    <row r="101" spans="1:11" hidden="1" x14ac:dyDescent="0.3">
      <c r="A101" t="s">
        <v>61</v>
      </c>
      <c r="B101">
        <v>4</v>
      </c>
      <c r="C101">
        <v>16</v>
      </c>
      <c r="D101" t="s">
        <v>18</v>
      </c>
      <c r="E101" t="s">
        <v>17</v>
      </c>
      <c r="F101">
        <v>6</v>
      </c>
      <c r="G101">
        <v>70</v>
      </c>
      <c r="H101">
        <v>19.686</v>
      </c>
      <c r="I101">
        <v>12</v>
      </c>
      <c r="J101" t="s">
        <v>2</v>
      </c>
      <c r="K101" s="1">
        <v>9.5118055555555559E-4</v>
      </c>
    </row>
    <row r="102" spans="1:11" x14ac:dyDescent="0.3">
      <c r="A102" t="s">
        <v>61</v>
      </c>
      <c r="B102">
        <v>5</v>
      </c>
      <c r="C102">
        <v>1</v>
      </c>
      <c r="D102" t="s">
        <v>12</v>
      </c>
      <c r="E102" t="s">
        <v>13</v>
      </c>
      <c r="F102">
        <v>3</v>
      </c>
      <c r="G102">
        <v>70</v>
      </c>
      <c r="H102">
        <v>21.349</v>
      </c>
      <c r="I102">
        <v>10</v>
      </c>
      <c r="J102" t="s">
        <v>2</v>
      </c>
      <c r="K102" s="1">
        <v>9.3643518518518522E-4</v>
      </c>
    </row>
    <row r="103" spans="1:11" hidden="1" x14ac:dyDescent="0.3">
      <c r="A103" t="s">
        <v>61</v>
      </c>
      <c r="B103">
        <v>6</v>
      </c>
      <c r="C103">
        <v>55</v>
      </c>
      <c r="D103" t="s">
        <v>16</v>
      </c>
      <c r="E103" t="s">
        <v>17</v>
      </c>
      <c r="F103">
        <v>4</v>
      </c>
      <c r="G103">
        <v>70</v>
      </c>
      <c r="H103">
        <v>23.073</v>
      </c>
      <c r="I103">
        <v>8</v>
      </c>
      <c r="J103" t="s">
        <v>2</v>
      </c>
      <c r="K103" s="1">
        <v>9.4260416666666668E-4</v>
      </c>
    </row>
    <row r="104" spans="1:11" x14ac:dyDescent="0.3">
      <c r="A104" t="s">
        <v>61</v>
      </c>
      <c r="B104">
        <v>7</v>
      </c>
      <c r="C104">
        <v>11</v>
      </c>
      <c r="D104" t="s">
        <v>15</v>
      </c>
      <c r="E104" t="s">
        <v>13</v>
      </c>
      <c r="F104">
        <v>16</v>
      </c>
      <c r="G104">
        <v>70</v>
      </c>
      <c r="H104">
        <v>39.792000000000002</v>
      </c>
      <c r="I104">
        <v>6</v>
      </c>
      <c r="J104" t="s">
        <v>2</v>
      </c>
      <c r="K104" s="1">
        <v>9.386111111111112E-4</v>
      </c>
    </row>
    <row r="105" spans="1:11" hidden="1" x14ac:dyDescent="0.3">
      <c r="A105" t="s">
        <v>61</v>
      </c>
      <c r="B105">
        <v>8</v>
      </c>
      <c r="C105">
        <v>63</v>
      </c>
      <c r="D105" t="s">
        <v>19</v>
      </c>
      <c r="E105" t="s">
        <v>20</v>
      </c>
      <c r="F105">
        <v>17</v>
      </c>
      <c r="G105">
        <v>70</v>
      </c>
      <c r="H105">
        <v>42.368000000000002</v>
      </c>
      <c r="I105">
        <v>5</v>
      </c>
      <c r="J105" t="s">
        <v>14</v>
      </c>
      <c r="K105" s="1">
        <v>9.2945601851851859E-4</v>
      </c>
    </row>
    <row r="106" spans="1:11" hidden="1" x14ac:dyDescent="0.3">
      <c r="A106" t="s">
        <v>62</v>
      </c>
      <c r="B106" t="s">
        <v>63</v>
      </c>
      <c r="C106">
        <v>63</v>
      </c>
      <c r="D106" t="s">
        <v>19</v>
      </c>
      <c r="E106" t="s">
        <v>20</v>
      </c>
      <c r="F106">
        <v>6</v>
      </c>
      <c r="G106">
        <v>44</v>
      </c>
      <c r="H106" s="1">
        <v>5.5521296296296298E-2</v>
      </c>
      <c r="I106">
        <v>0</v>
      </c>
      <c r="J106" t="s">
        <v>2</v>
      </c>
      <c r="K106" s="1">
        <v>1.2397337962962963E-3</v>
      </c>
    </row>
    <row r="107" spans="1:11" hidden="1" x14ac:dyDescent="0.3">
      <c r="A107" t="s">
        <v>62</v>
      </c>
      <c r="B107">
        <v>1</v>
      </c>
      <c r="C107">
        <v>44</v>
      </c>
      <c r="D107" t="s">
        <v>23</v>
      </c>
      <c r="E107" t="s">
        <v>20</v>
      </c>
      <c r="F107">
        <v>3</v>
      </c>
      <c r="G107">
        <v>44</v>
      </c>
      <c r="H107">
        <v>0.52600000000000002</v>
      </c>
      <c r="I107">
        <v>25</v>
      </c>
      <c r="J107" t="s">
        <v>2</v>
      </c>
      <c r="K107" s="1">
        <v>1.234409722222222E-3</v>
      </c>
    </row>
    <row r="108" spans="1:11" hidden="1" x14ac:dyDescent="0.3">
      <c r="A108" t="s">
        <v>62</v>
      </c>
      <c r="B108">
        <v>2</v>
      </c>
      <c r="C108">
        <v>81</v>
      </c>
      <c r="D108" t="s">
        <v>24</v>
      </c>
      <c r="E108" t="s">
        <v>22</v>
      </c>
      <c r="F108">
        <v>5</v>
      </c>
      <c r="G108">
        <v>44</v>
      </c>
      <c r="H108">
        <v>1.173</v>
      </c>
      <c r="I108">
        <v>18</v>
      </c>
      <c r="J108" t="s">
        <v>2</v>
      </c>
      <c r="K108" s="1">
        <v>1.225E-3</v>
      </c>
    </row>
    <row r="109" spans="1:11" hidden="1" x14ac:dyDescent="0.3">
      <c r="A109" t="s">
        <v>62</v>
      </c>
      <c r="B109">
        <v>3</v>
      </c>
      <c r="C109">
        <v>16</v>
      </c>
      <c r="D109" t="s">
        <v>18</v>
      </c>
      <c r="E109" t="s">
        <v>17</v>
      </c>
      <c r="F109">
        <v>1</v>
      </c>
      <c r="G109">
        <v>44</v>
      </c>
      <c r="H109">
        <v>8.5489999999999995</v>
      </c>
      <c r="I109">
        <v>15</v>
      </c>
      <c r="J109" t="s">
        <v>2</v>
      </c>
      <c r="K109" s="1">
        <v>1.2385763888888889E-3</v>
      </c>
    </row>
    <row r="110" spans="1:11" x14ac:dyDescent="0.3">
      <c r="A110" t="s">
        <v>62</v>
      </c>
      <c r="B110">
        <v>4</v>
      </c>
      <c r="C110">
        <v>1</v>
      </c>
      <c r="D110" t="s">
        <v>12</v>
      </c>
      <c r="E110" t="s">
        <v>13</v>
      </c>
      <c r="F110">
        <v>11</v>
      </c>
      <c r="G110">
        <v>44</v>
      </c>
      <c r="H110">
        <v>9.2260000000000009</v>
      </c>
      <c r="I110">
        <v>12</v>
      </c>
      <c r="J110" t="s">
        <v>2</v>
      </c>
      <c r="K110" s="1">
        <v>1.2283333333333332E-3</v>
      </c>
    </row>
    <row r="111" spans="1:11" hidden="1" x14ac:dyDescent="0.3">
      <c r="A111" t="s">
        <v>62</v>
      </c>
      <c r="B111">
        <v>5</v>
      </c>
      <c r="C111">
        <v>4</v>
      </c>
      <c r="D111" t="s">
        <v>21</v>
      </c>
      <c r="E111" t="s">
        <v>22</v>
      </c>
      <c r="F111">
        <v>4</v>
      </c>
      <c r="G111">
        <v>44</v>
      </c>
      <c r="H111">
        <v>9.85</v>
      </c>
      <c r="I111">
        <v>10</v>
      </c>
      <c r="J111" t="s">
        <v>2</v>
      </c>
      <c r="K111" s="1">
        <v>1.2217939814814815E-3</v>
      </c>
    </row>
    <row r="112" spans="1:11" hidden="1" x14ac:dyDescent="0.3">
      <c r="A112" t="s">
        <v>62</v>
      </c>
      <c r="B112">
        <v>6</v>
      </c>
      <c r="C112">
        <v>55</v>
      </c>
      <c r="D112" t="s">
        <v>16</v>
      </c>
      <c r="E112" t="s">
        <v>17</v>
      </c>
      <c r="F112">
        <v>7</v>
      </c>
      <c r="G112">
        <v>44</v>
      </c>
      <c r="H112">
        <v>19.795000000000002</v>
      </c>
      <c r="I112">
        <v>8</v>
      </c>
      <c r="J112" t="s">
        <v>2</v>
      </c>
      <c r="K112" s="1">
        <v>1.2310648148148148E-3</v>
      </c>
    </row>
    <row r="113" spans="1:11" x14ac:dyDescent="0.3">
      <c r="A113" t="s">
        <v>62</v>
      </c>
      <c r="B113">
        <v>7</v>
      </c>
      <c r="C113">
        <v>11</v>
      </c>
      <c r="D113" t="s">
        <v>15</v>
      </c>
      <c r="E113" t="s">
        <v>13</v>
      </c>
      <c r="F113">
        <v>2</v>
      </c>
      <c r="G113">
        <v>44</v>
      </c>
      <c r="H113">
        <v>3.1949999999999998</v>
      </c>
      <c r="I113">
        <v>7</v>
      </c>
      <c r="J113" t="s">
        <v>14</v>
      </c>
      <c r="K113" s="1">
        <v>1.2118171296296295E-3</v>
      </c>
    </row>
    <row r="114" spans="1:11" hidden="1" x14ac:dyDescent="0.3">
      <c r="A114" t="s">
        <v>64</v>
      </c>
      <c r="B114">
        <v>1</v>
      </c>
      <c r="C114">
        <v>4</v>
      </c>
      <c r="D114" t="s">
        <v>21</v>
      </c>
      <c r="E114" t="s">
        <v>22</v>
      </c>
      <c r="F114">
        <v>1</v>
      </c>
      <c r="G114">
        <v>72</v>
      </c>
      <c r="H114" s="1">
        <v>6.3026840277777774E-2</v>
      </c>
      <c r="I114">
        <v>26</v>
      </c>
      <c r="J114" t="s">
        <v>14</v>
      </c>
      <c r="K114" s="1">
        <v>8.5436342592592606E-4</v>
      </c>
    </row>
    <row r="115" spans="1:11" x14ac:dyDescent="0.3">
      <c r="A115" t="s">
        <v>64</v>
      </c>
      <c r="B115">
        <v>2</v>
      </c>
      <c r="C115">
        <v>1</v>
      </c>
      <c r="D115" t="s">
        <v>12</v>
      </c>
      <c r="E115" t="s">
        <v>13</v>
      </c>
      <c r="F115">
        <v>2</v>
      </c>
      <c r="G115">
        <v>72</v>
      </c>
      <c r="H115">
        <v>22.896000000000001</v>
      </c>
      <c r="I115">
        <v>18</v>
      </c>
      <c r="J115" t="s">
        <v>2</v>
      </c>
      <c r="K115" s="1">
        <v>8.6518518518518509E-4</v>
      </c>
    </row>
    <row r="116" spans="1:11" hidden="1" x14ac:dyDescent="0.3">
      <c r="A116" t="s">
        <v>64</v>
      </c>
      <c r="B116">
        <v>3</v>
      </c>
      <c r="C116">
        <v>16</v>
      </c>
      <c r="D116" t="s">
        <v>18</v>
      </c>
      <c r="E116" t="s">
        <v>17</v>
      </c>
      <c r="F116">
        <v>6</v>
      </c>
      <c r="G116">
        <v>72</v>
      </c>
      <c r="H116">
        <v>25.439</v>
      </c>
      <c r="I116">
        <v>15</v>
      </c>
      <c r="J116" t="s">
        <v>2</v>
      </c>
      <c r="K116" s="1">
        <v>8.6325231481481496E-4</v>
      </c>
    </row>
    <row r="117" spans="1:11" hidden="1" x14ac:dyDescent="0.3">
      <c r="A117" t="s">
        <v>64</v>
      </c>
      <c r="B117">
        <v>4</v>
      </c>
      <c r="C117">
        <v>81</v>
      </c>
      <c r="D117" t="s">
        <v>24</v>
      </c>
      <c r="E117" t="s">
        <v>22</v>
      </c>
      <c r="F117">
        <v>3</v>
      </c>
      <c r="G117">
        <v>72</v>
      </c>
      <c r="H117">
        <v>27.337</v>
      </c>
      <c r="I117">
        <v>12</v>
      </c>
      <c r="J117" t="s">
        <v>2</v>
      </c>
      <c r="K117" s="1">
        <v>8.5922453703703692E-4</v>
      </c>
    </row>
    <row r="118" spans="1:11" hidden="1" x14ac:dyDescent="0.3">
      <c r="A118" t="s">
        <v>64</v>
      </c>
      <c r="B118">
        <v>5</v>
      </c>
      <c r="C118">
        <v>55</v>
      </c>
      <c r="D118" t="s">
        <v>16</v>
      </c>
      <c r="E118" t="s">
        <v>17</v>
      </c>
      <c r="F118">
        <v>10</v>
      </c>
      <c r="G118">
        <v>72</v>
      </c>
      <c r="H118">
        <v>32.137</v>
      </c>
      <c r="I118">
        <v>10</v>
      </c>
      <c r="J118" t="s">
        <v>2</v>
      </c>
      <c r="K118" s="1">
        <v>8.5783564814814815E-4</v>
      </c>
    </row>
    <row r="119" spans="1:11" x14ac:dyDescent="0.3">
      <c r="A119" t="s">
        <v>64</v>
      </c>
      <c r="B119">
        <v>6</v>
      </c>
      <c r="C119">
        <v>11</v>
      </c>
      <c r="D119" t="s">
        <v>15</v>
      </c>
      <c r="E119" t="s">
        <v>13</v>
      </c>
      <c r="F119">
        <v>5</v>
      </c>
      <c r="G119">
        <v>72</v>
      </c>
      <c r="H119">
        <v>39.542000000000002</v>
      </c>
      <c r="I119">
        <v>8</v>
      </c>
      <c r="J119" t="s">
        <v>2</v>
      </c>
      <c r="K119" s="1">
        <v>8.6327546296296304E-4</v>
      </c>
    </row>
    <row r="120" spans="1:11" hidden="1" x14ac:dyDescent="0.3">
      <c r="A120" t="s">
        <v>64</v>
      </c>
      <c r="B120">
        <v>7</v>
      </c>
      <c r="C120">
        <v>63</v>
      </c>
      <c r="D120" t="s">
        <v>19</v>
      </c>
      <c r="E120" t="s">
        <v>20</v>
      </c>
      <c r="F120">
        <v>4</v>
      </c>
      <c r="G120">
        <v>72</v>
      </c>
      <c r="H120">
        <v>44.616999999999997</v>
      </c>
      <c r="I120">
        <v>6</v>
      </c>
      <c r="J120" t="s">
        <v>2</v>
      </c>
      <c r="K120" s="1">
        <v>8.5563657407407398E-4</v>
      </c>
    </row>
    <row r="121" spans="1:11" hidden="1" x14ac:dyDescent="0.3">
      <c r="A121" t="s">
        <v>64</v>
      </c>
      <c r="B121">
        <v>8</v>
      </c>
      <c r="C121">
        <v>44</v>
      </c>
      <c r="D121" t="s">
        <v>23</v>
      </c>
      <c r="E121" t="s">
        <v>20</v>
      </c>
      <c r="F121">
        <v>14</v>
      </c>
      <c r="G121">
        <v>72</v>
      </c>
      <c r="H121">
        <v>49.598999999999997</v>
      </c>
      <c r="I121">
        <v>4</v>
      </c>
      <c r="J121" t="s">
        <v>2</v>
      </c>
      <c r="K121" s="1">
        <v>8.5506944444444443E-4</v>
      </c>
    </row>
    <row r="122" spans="1:11" hidden="1" x14ac:dyDescent="0.3">
      <c r="A122" t="s">
        <v>65</v>
      </c>
      <c r="B122">
        <v>1</v>
      </c>
      <c r="C122">
        <v>16</v>
      </c>
      <c r="D122" t="s">
        <v>18</v>
      </c>
      <c r="E122" t="s">
        <v>17</v>
      </c>
      <c r="F122">
        <v>4</v>
      </c>
      <c r="G122">
        <v>53</v>
      </c>
      <c r="H122" s="1">
        <v>5.1860266203703702E-2</v>
      </c>
      <c r="I122">
        <v>25</v>
      </c>
      <c r="J122" t="s">
        <v>2</v>
      </c>
      <c r="K122" s="1">
        <v>9.6326388888888883E-4</v>
      </c>
    </row>
    <row r="123" spans="1:11" hidden="1" x14ac:dyDescent="0.3">
      <c r="A123" t="s">
        <v>65</v>
      </c>
      <c r="B123">
        <v>2</v>
      </c>
      <c r="C123">
        <v>81</v>
      </c>
      <c r="D123" t="s">
        <v>24</v>
      </c>
      <c r="E123" t="s">
        <v>22</v>
      </c>
      <c r="F123">
        <v>2</v>
      </c>
      <c r="G123">
        <v>53</v>
      </c>
      <c r="H123">
        <v>2.6640000000000001</v>
      </c>
      <c r="I123">
        <v>18</v>
      </c>
      <c r="J123" t="s">
        <v>2</v>
      </c>
      <c r="K123" s="1">
        <v>9.4841435185185187E-4</v>
      </c>
    </row>
    <row r="124" spans="1:11" hidden="1" x14ac:dyDescent="0.3">
      <c r="A124" t="s">
        <v>65</v>
      </c>
      <c r="B124">
        <v>3</v>
      </c>
      <c r="C124">
        <v>4</v>
      </c>
      <c r="D124" t="s">
        <v>21</v>
      </c>
      <c r="E124" t="s">
        <v>22</v>
      </c>
      <c r="F124">
        <v>1</v>
      </c>
      <c r="G124">
        <v>53</v>
      </c>
      <c r="H124">
        <v>6.1529999999999996</v>
      </c>
      <c r="I124">
        <v>16</v>
      </c>
      <c r="J124" t="s">
        <v>14</v>
      </c>
      <c r="K124" s="1">
        <v>9.4249999999999998E-4</v>
      </c>
    </row>
    <row r="125" spans="1:11" hidden="1" x14ac:dyDescent="0.3">
      <c r="A125" t="s">
        <v>65</v>
      </c>
      <c r="B125">
        <v>4</v>
      </c>
      <c r="C125">
        <v>55</v>
      </c>
      <c r="D125" t="s">
        <v>16</v>
      </c>
      <c r="E125" t="s">
        <v>17</v>
      </c>
      <c r="F125">
        <v>5</v>
      </c>
      <c r="G125">
        <v>53</v>
      </c>
      <c r="H125">
        <v>15.621</v>
      </c>
      <c r="I125">
        <v>12</v>
      </c>
      <c r="J125" t="s">
        <v>2</v>
      </c>
      <c r="K125" s="1">
        <v>9.6318287037037032E-4</v>
      </c>
    </row>
    <row r="126" spans="1:11" hidden="1" x14ac:dyDescent="0.3">
      <c r="A126" t="s">
        <v>65</v>
      </c>
      <c r="B126">
        <v>5</v>
      </c>
      <c r="C126">
        <v>44</v>
      </c>
      <c r="D126" t="s">
        <v>23</v>
      </c>
      <c r="E126" t="s">
        <v>20</v>
      </c>
      <c r="F126">
        <v>6</v>
      </c>
      <c r="G126">
        <v>53</v>
      </c>
      <c r="H126">
        <v>22.82</v>
      </c>
      <c r="I126">
        <v>10</v>
      </c>
      <c r="J126" t="s">
        <v>2</v>
      </c>
      <c r="K126" s="1">
        <v>9.434259259259259E-4</v>
      </c>
    </row>
    <row r="127" spans="1:11" x14ac:dyDescent="0.3">
      <c r="A127" t="s">
        <v>65</v>
      </c>
      <c r="B127">
        <v>6</v>
      </c>
      <c r="C127">
        <v>1</v>
      </c>
      <c r="D127" t="s">
        <v>12</v>
      </c>
      <c r="E127" t="s">
        <v>13</v>
      </c>
      <c r="F127">
        <v>7</v>
      </c>
      <c r="G127">
        <v>53</v>
      </c>
      <c r="H127">
        <v>37.932000000000002</v>
      </c>
      <c r="I127">
        <v>8</v>
      </c>
      <c r="J127" t="s">
        <v>2</v>
      </c>
      <c r="K127" s="1">
        <v>9.4612268518518526E-4</v>
      </c>
    </row>
    <row r="128" spans="1:11" hidden="1" x14ac:dyDescent="0.3">
      <c r="A128" t="s">
        <v>65</v>
      </c>
      <c r="B128">
        <v>7</v>
      </c>
      <c r="C128">
        <v>63</v>
      </c>
      <c r="D128" t="s">
        <v>19</v>
      </c>
      <c r="E128" t="s">
        <v>20</v>
      </c>
      <c r="F128">
        <v>3</v>
      </c>
      <c r="G128">
        <v>53</v>
      </c>
      <c r="H128">
        <v>39.715000000000003</v>
      </c>
      <c r="I128">
        <v>6</v>
      </c>
      <c r="J128" t="s">
        <v>2</v>
      </c>
      <c r="K128" s="1">
        <v>9.4949074074074076E-4</v>
      </c>
    </row>
    <row r="129" spans="1:11" x14ac:dyDescent="0.3">
      <c r="A129" t="s">
        <v>65</v>
      </c>
      <c r="B129">
        <v>8</v>
      </c>
      <c r="C129">
        <v>11</v>
      </c>
      <c r="D129" t="s">
        <v>15</v>
      </c>
      <c r="E129" t="s">
        <v>13</v>
      </c>
      <c r="F129">
        <v>8</v>
      </c>
      <c r="G129">
        <v>53</v>
      </c>
      <c r="H129">
        <v>54.148000000000003</v>
      </c>
      <c r="I129">
        <v>4</v>
      </c>
      <c r="J129" t="s">
        <v>2</v>
      </c>
      <c r="K129" s="1">
        <v>9.6031250000000001E-4</v>
      </c>
    </row>
    <row r="130" spans="1:11" hidden="1" x14ac:dyDescent="0.3">
      <c r="A130" t="s">
        <v>67</v>
      </c>
      <c r="B130">
        <v>1</v>
      </c>
      <c r="C130">
        <v>81</v>
      </c>
      <c r="D130" t="s">
        <v>24</v>
      </c>
      <c r="E130" t="s">
        <v>22</v>
      </c>
      <c r="F130">
        <v>2</v>
      </c>
      <c r="G130">
        <v>51</v>
      </c>
      <c r="H130" s="1">
        <v>6.4560266203703698E-2</v>
      </c>
      <c r="I130">
        <v>25</v>
      </c>
      <c r="J130" t="s">
        <v>2</v>
      </c>
      <c r="K130" s="1">
        <v>1.2391203703703705E-3</v>
      </c>
    </row>
    <row r="131" spans="1:11" hidden="1" x14ac:dyDescent="0.3">
      <c r="A131" t="s">
        <v>67</v>
      </c>
      <c r="B131">
        <v>2</v>
      </c>
      <c r="C131">
        <v>16</v>
      </c>
      <c r="D131" t="s">
        <v>18</v>
      </c>
      <c r="E131" t="s">
        <v>17</v>
      </c>
      <c r="F131">
        <v>1</v>
      </c>
      <c r="G131">
        <v>51</v>
      </c>
      <c r="H131">
        <v>10.91</v>
      </c>
      <c r="I131">
        <v>18</v>
      </c>
      <c r="J131" t="s">
        <v>2</v>
      </c>
      <c r="K131" s="1">
        <v>1.2392013888888891E-3</v>
      </c>
    </row>
    <row r="132" spans="1:11" hidden="1" x14ac:dyDescent="0.3">
      <c r="A132" t="s">
        <v>67</v>
      </c>
      <c r="B132">
        <v>3</v>
      </c>
      <c r="C132">
        <v>63</v>
      </c>
      <c r="D132" t="s">
        <v>19</v>
      </c>
      <c r="E132" t="s">
        <v>20</v>
      </c>
      <c r="F132">
        <v>5</v>
      </c>
      <c r="G132">
        <v>51</v>
      </c>
      <c r="H132">
        <v>31.327999999999999</v>
      </c>
      <c r="I132">
        <v>15</v>
      </c>
      <c r="J132" t="s">
        <v>2</v>
      </c>
      <c r="K132" s="1">
        <v>1.2341203703703704E-3</v>
      </c>
    </row>
    <row r="133" spans="1:11" hidden="1" x14ac:dyDescent="0.3">
      <c r="A133" t="s">
        <v>67</v>
      </c>
      <c r="B133">
        <v>4</v>
      </c>
      <c r="C133">
        <v>4</v>
      </c>
      <c r="D133" t="s">
        <v>21</v>
      </c>
      <c r="E133" t="s">
        <v>22</v>
      </c>
      <c r="F133">
        <v>15</v>
      </c>
      <c r="G133">
        <v>51</v>
      </c>
      <c r="H133">
        <v>36.142000000000003</v>
      </c>
      <c r="I133">
        <v>13</v>
      </c>
      <c r="J133" t="s">
        <v>14</v>
      </c>
      <c r="K133" s="1">
        <v>1.2182291666666667E-3</v>
      </c>
    </row>
    <row r="134" spans="1:11" x14ac:dyDescent="0.3">
      <c r="A134" t="s">
        <v>67</v>
      </c>
      <c r="B134">
        <v>5</v>
      </c>
      <c r="C134">
        <v>1</v>
      </c>
      <c r="D134" t="s">
        <v>12</v>
      </c>
      <c r="E134" t="s">
        <v>13</v>
      </c>
      <c r="F134">
        <v>6</v>
      </c>
      <c r="G134">
        <v>51</v>
      </c>
      <c r="H134">
        <v>77.097999999999999</v>
      </c>
      <c r="I134">
        <v>10</v>
      </c>
      <c r="J134" t="s">
        <v>2</v>
      </c>
      <c r="K134" s="1">
        <v>1.2360879629629629E-3</v>
      </c>
    </row>
    <row r="135" spans="1:11" hidden="1" x14ac:dyDescent="0.3">
      <c r="A135" t="s">
        <v>67</v>
      </c>
      <c r="B135">
        <v>9</v>
      </c>
      <c r="C135">
        <v>44</v>
      </c>
      <c r="D135" t="s">
        <v>23</v>
      </c>
      <c r="E135" t="s">
        <v>20</v>
      </c>
      <c r="F135">
        <v>19</v>
      </c>
      <c r="G135">
        <v>51</v>
      </c>
      <c r="H135">
        <v>92.400999999999996</v>
      </c>
      <c r="I135">
        <v>2</v>
      </c>
      <c r="J135" t="s">
        <v>2</v>
      </c>
      <c r="K135" s="1">
        <v>1.2411574074074072E-3</v>
      </c>
    </row>
    <row r="136" spans="1:11" x14ac:dyDescent="0.3">
      <c r="A136" t="s">
        <v>67</v>
      </c>
      <c r="B136">
        <v>17</v>
      </c>
      <c r="C136">
        <v>11</v>
      </c>
      <c r="D136" t="s">
        <v>15</v>
      </c>
      <c r="E136" t="s">
        <v>13</v>
      </c>
      <c r="F136">
        <v>4</v>
      </c>
      <c r="G136">
        <v>49</v>
      </c>
      <c r="H136" t="s">
        <v>48</v>
      </c>
      <c r="I136">
        <v>0</v>
      </c>
      <c r="J136" t="s">
        <v>2</v>
      </c>
      <c r="K136" s="1">
        <v>1.2385763888888889E-3</v>
      </c>
    </row>
    <row r="137" spans="1:11" hidden="1" x14ac:dyDescent="0.3">
      <c r="A137" t="s">
        <v>67</v>
      </c>
      <c r="B137">
        <v>18</v>
      </c>
      <c r="C137">
        <v>55</v>
      </c>
      <c r="D137" t="s">
        <v>16</v>
      </c>
      <c r="E137" t="s">
        <v>17</v>
      </c>
      <c r="F137">
        <v>3</v>
      </c>
      <c r="G137">
        <v>49</v>
      </c>
      <c r="H137" t="s">
        <v>48</v>
      </c>
      <c r="I137">
        <v>0</v>
      </c>
      <c r="J137" t="s">
        <v>2</v>
      </c>
      <c r="K137" s="1">
        <v>1.2368749999999999E-3</v>
      </c>
    </row>
    <row r="138" spans="1:11" hidden="1" x14ac:dyDescent="0.3">
      <c r="A138" t="s">
        <v>68</v>
      </c>
      <c r="B138">
        <v>1</v>
      </c>
      <c r="C138">
        <v>4</v>
      </c>
      <c r="D138" t="s">
        <v>21</v>
      </c>
      <c r="E138" t="s">
        <v>22</v>
      </c>
      <c r="F138">
        <v>1</v>
      </c>
      <c r="G138">
        <v>62</v>
      </c>
      <c r="H138" s="1">
        <v>7.0052905092592585E-2</v>
      </c>
      <c r="I138">
        <v>25</v>
      </c>
      <c r="J138" t="s">
        <v>2</v>
      </c>
      <c r="K138" s="1">
        <v>1.0986689814814815E-3</v>
      </c>
    </row>
    <row r="139" spans="1:11" x14ac:dyDescent="0.3">
      <c r="A139" t="s">
        <v>68</v>
      </c>
      <c r="B139">
        <v>2</v>
      </c>
      <c r="C139">
        <v>1</v>
      </c>
      <c r="D139" t="s">
        <v>12</v>
      </c>
      <c r="E139" t="s">
        <v>13</v>
      </c>
      <c r="F139">
        <v>2</v>
      </c>
      <c r="G139">
        <v>62</v>
      </c>
      <c r="H139">
        <v>20.945</v>
      </c>
      <c r="I139">
        <v>18</v>
      </c>
      <c r="J139" t="s">
        <v>2</v>
      </c>
      <c r="K139" s="1">
        <v>1.1107291666666665E-3</v>
      </c>
    </row>
    <row r="140" spans="1:11" hidden="1" x14ac:dyDescent="0.3">
      <c r="A140" t="s">
        <v>68</v>
      </c>
      <c r="B140">
        <v>3</v>
      </c>
      <c r="C140">
        <v>81</v>
      </c>
      <c r="D140" t="s">
        <v>24</v>
      </c>
      <c r="E140" t="s">
        <v>22</v>
      </c>
      <c r="F140">
        <v>5</v>
      </c>
      <c r="G140">
        <v>62</v>
      </c>
      <c r="H140">
        <v>41.823</v>
      </c>
      <c r="I140">
        <v>15</v>
      </c>
      <c r="J140" t="s">
        <v>2</v>
      </c>
      <c r="K140" s="1">
        <v>1.1081597222222222E-3</v>
      </c>
    </row>
    <row r="141" spans="1:11" hidden="1" x14ac:dyDescent="0.3">
      <c r="A141" t="s">
        <v>68</v>
      </c>
      <c r="B141">
        <v>4</v>
      </c>
      <c r="C141">
        <v>63</v>
      </c>
      <c r="D141" t="s">
        <v>19</v>
      </c>
      <c r="E141" t="s">
        <v>20</v>
      </c>
      <c r="F141">
        <v>4</v>
      </c>
      <c r="G141">
        <v>62</v>
      </c>
      <c r="H141">
        <v>61.04</v>
      </c>
      <c r="I141">
        <v>12</v>
      </c>
      <c r="J141" t="s">
        <v>2</v>
      </c>
      <c r="K141" s="1">
        <v>1.1232291666666667E-3</v>
      </c>
    </row>
    <row r="142" spans="1:11" hidden="1" x14ac:dyDescent="0.3">
      <c r="A142" t="s">
        <v>68</v>
      </c>
      <c r="B142">
        <v>5</v>
      </c>
      <c r="C142">
        <v>16</v>
      </c>
      <c r="D142" t="s">
        <v>18</v>
      </c>
      <c r="E142" t="s">
        <v>17</v>
      </c>
      <c r="F142">
        <v>9</v>
      </c>
      <c r="G142">
        <v>62</v>
      </c>
      <c r="H142">
        <v>62.43</v>
      </c>
      <c r="I142">
        <v>10</v>
      </c>
      <c r="J142" t="s">
        <v>2</v>
      </c>
      <c r="K142" s="1">
        <v>1.1038310185185185E-3</v>
      </c>
    </row>
    <row r="143" spans="1:11" hidden="1" x14ac:dyDescent="0.3">
      <c r="A143" t="s">
        <v>68</v>
      </c>
      <c r="B143">
        <v>6</v>
      </c>
      <c r="C143">
        <v>44</v>
      </c>
      <c r="D143" t="s">
        <v>23</v>
      </c>
      <c r="E143" t="s">
        <v>20</v>
      </c>
      <c r="F143">
        <v>3</v>
      </c>
      <c r="G143">
        <v>62</v>
      </c>
      <c r="H143">
        <v>85.248000000000005</v>
      </c>
      <c r="I143">
        <v>8</v>
      </c>
      <c r="J143" t="s">
        <v>2</v>
      </c>
      <c r="K143" s="1">
        <v>1.1272337962962963E-3</v>
      </c>
    </row>
    <row r="144" spans="1:11" hidden="1" x14ac:dyDescent="0.3">
      <c r="A144" t="s">
        <v>68</v>
      </c>
      <c r="B144">
        <v>7</v>
      </c>
      <c r="C144">
        <v>55</v>
      </c>
      <c r="D144" t="s">
        <v>16</v>
      </c>
      <c r="E144" t="s">
        <v>17</v>
      </c>
      <c r="F144">
        <v>10</v>
      </c>
      <c r="G144">
        <v>62</v>
      </c>
      <c r="H144">
        <v>96.039000000000001</v>
      </c>
      <c r="I144">
        <v>6</v>
      </c>
      <c r="J144" t="s">
        <v>2</v>
      </c>
      <c r="K144" s="1">
        <v>1.1176041666666667E-3</v>
      </c>
    </row>
    <row r="145" spans="1:11" x14ac:dyDescent="0.3">
      <c r="A145" t="s">
        <v>68</v>
      </c>
      <c r="B145">
        <v>10</v>
      </c>
      <c r="C145">
        <v>11</v>
      </c>
      <c r="D145" t="s">
        <v>15</v>
      </c>
      <c r="E145" t="s">
        <v>13</v>
      </c>
      <c r="F145">
        <v>13</v>
      </c>
      <c r="G145">
        <v>61</v>
      </c>
      <c r="H145" t="s">
        <v>30</v>
      </c>
      <c r="I145">
        <v>1</v>
      </c>
      <c r="J145" t="s">
        <v>2</v>
      </c>
      <c r="K145" s="1">
        <v>1.1282060185185186E-3</v>
      </c>
    </row>
    <row r="146" spans="1:11" hidden="1" x14ac:dyDescent="0.3">
      <c r="A146" t="s">
        <v>69</v>
      </c>
      <c r="B146">
        <v>1</v>
      </c>
      <c r="C146">
        <v>16</v>
      </c>
      <c r="D146" t="s">
        <v>18</v>
      </c>
      <c r="E146" t="s">
        <v>17</v>
      </c>
      <c r="F146">
        <v>4</v>
      </c>
      <c r="G146">
        <v>56</v>
      </c>
      <c r="H146" s="1">
        <v>6.6083784722222219E-2</v>
      </c>
      <c r="I146">
        <v>25</v>
      </c>
      <c r="J146" t="s">
        <v>2</v>
      </c>
      <c r="K146" s="1">
        <v>1.132337962962963E-3</v>
      </c>
    </row>
    <row r="147" spans="1:11" hidden="1" x14ac:dyDescent="0.3">
      <c r="A147" t="s">
        <v>69</v>
      </c>
      <c r="B147">
        <v>2</v>
      </c>
      <c r="C147">
        <v>55</v>
      </c>
      <c r="D147" t="s">
        <v>16</v>
      </c>
      <c r="E147" t="s">
        <v>17</v>
      </c>
      <c r="F147">
        <v>3</v>
      </c>
      <c r="G147">
        <v>56</v>
      </c>
      <c r="H147">
        <v>8.5619999999999994</v>
      </c>
      <c r="I147">
        <v>18</v>
      </c>
      <c r="J147" t="s">
        <v>2</v>
      </c>
      <c r="K147" s="1">
        <v>1.1315162037037038E-3</v>
      </c>
    </row>
    <row r="148" spans="1:11" x14ac:dyDescent="0.3">
      <c r="A148" t="s">
        <v>69</v>
      </c>
      <c r="B148">
        <v>3</v>
      </c>
      <c r="C148">
        <v>1</v>
      </c>
      <c r="D148" t="s">
        <v>12</v>
      </c>
      <c r="E148" t="s">
        <v>13</v>
      </c>
      <c r="F148">
        <v>2</v>
      </c>
      <c r="G148">
        <v>56</v>
      </c>
      <c r="H148">
        <v>19.411999999999999</v>
      </c>
      <c r="I148">
        <v>15</v>
      </c>
      <c r="J148" t="s">
        <v>2</v>
      </c>
      <c r="K148" s="1">
        <v>1.1356134259259258E-3</v>
      </c>
    </row>
    <row r="149" spans="1:11" hidden="1" x14ac:dyDescent="0.3">
      <c r="A149" t="s">
        <v>69</v>
      </c>
      <c r="B149">
        <v>4</v>
      </c>
      <c r="C149">
        <v>4</v>
      </c>
      <c r="D149" t="s">
        <v>21</v>
      </c>
      <c r="E149" t="s">
        <v>22</v>
      </c>
      <c r="F149">
        <v>1</v>
      </c>
      <c r="G149">
        <v>56</v>
      </c>
      <c r="H149">
        <v>20.353999999999999</v>
      </c>
      <c r="I149">
        <v>12</v>
      </c>
      <c r="J149" t="s">
        <v>2</v>
      </c>
      <c r="K149" s="1">
        <v>1.1305439814814815E-3</v>
      </c>
    </row>
    <row r="150" spans="1:11" hidden="1" x14ac:dyDescent="0.3">
      <c r="A150" t="s">
        <v>69</v>
      </c>
      <c r="B150">
        <v>5</v>
      </c>
      <c r="C150">
        <v>81</v>
      </c>
      <c r="D150" t="s">
        <v>24</v>
      </c>
      <c r="E150" t="s">
        <v>22</v>
      </c>
      <c r="F150">
        <v>5</v>
      </c>
      <c r="G150">
        <v>56</v>
      </c>
      <c r="H150">
        <v>21.920999999999999</v>
      </c>
      <c r="I150">
        <v>10</v>
      </c>
      <c r="J150" t="s">
        <v>2</v>
      </c>
      <c r="K150" s="1">
        <v>1.1329050925925927E-3</v>
      </c>
    </row>
    <row r="151" spans="1:11" hidden="1" x14ac:dyDescent="0.3">
      <c r="A151" t="s">
        <v>69</v>
      </c>
      <c r="B151">
        <v>6</v>
      </c>
      <c r="C151">
        <v>63</v>
      </c>
      <c r="D151" t="s">
        <v>19</v>
      </c>
      <c r="E151" t="s">
        <v>20</v>
      </c>
      <c r="F151">
        <v>20</v>
      </c>
      <c r="G151">
        <v>56</v>
      </c>
      <c r="H151">
        <v>56.295000000000002</v>
      </c>
      <c r="I151">
        <v>8</v>
      </c>
      <c r="J151" t="s">
        <v>2</v>
      </c>
      <c r="K151" s="1">
        <v>1.1302777777777778E-3</v>
      </c>
    </row>
    <row r="152" spans="1:11" x14ac:dyDescent="0.3">
      <c r="A152" t="s">
        <v>69</v>
      </c>
      <c r="B152">
        <v>7</v>
      </c>
      <c r="C152">
        <v>11</v>
      </c>
      <c r="D152" t="s">
        <v>15</v>
      </c>
      <c r="E152" t="s">
        <v>13</v>
      </c>
      <c r="F152">
        <v>9</v>
      </c>
      <c r="G152">
        <v>56</v>
      </c>
      <c r="H152">
        <v>59.072000000000003</v>
      </c>
      <c r="I152">
        <v>6</v>
      </c>
      <c r="J152" t="s">
        <v>2</v>
      </c>
      <c r="K152" s="1">
        <v>1.1402083333333334E-3</v>
      </c>
    </row>
    <row r="153" spans="1:11" hidden="1" x14ac:dyDescent="0.3">
      <c r="A153" t="s">
        <v>69</v>
      </c>
      <c r="B153" t="s">
        <v>47</v>
      </c>
      <c r="C153">
        <v>44</v>
      </c>
      <c r="D153" t="s">
        <v>23</v>
      </c>
      <c r="E153" t="s">
        <v>20</v>
      </c>
      <c r="F153">
        <v>17</v>
      </c>
      <c r="G153">
        <v>1</v>
      </c>
      <c r="H153" t="s">
        <v>48</v>
      </c>
      <c r="I153">
        <v>0</v>
      </c>
      <c r="J153" t="s">
        <v>2</v>
      </c>
    </row>
    <row r="154" spans="1:11" hidden="1" x14ac:dyDescent="0.3">
      <c r="A154" t="s">
        <v>71</v>
      </c>
      <c r="B154">
        <v>1</v>
      </c>
      <c r="C154">
        <v>55</v>
      </c>
      <c r="D154" t="s">
        <v>16</v>
      </c>
      <c r="E154" t="s">
        <v>17</v>
      </c>
      <c r="F154">
        <v>1</v>
      </c>
      <c r="G154">
        <v>71</v>
      </c>
      <c r="H154" s="1">
        <v>7.0090277777777779E-2</v>
      </c>
      <c r="I154">
        <v>25</v>
      </c>
      <c r="J154" t="s">
        <v>2</v>
      </c>
      <c r="K154" s="1">
        <v>9.2751157407407409E-4</v>
      </c>
    </row>
    <row r="155" spans="1:11" hidden="1" x14ac:dyDescent="0.3">
      <c r="A155" t="s">
        <v>71</v>
      </c>
      <c r="B155">
        <v>2</v>
      </c>
      <c r="C155">
        <v>4</v>
      </c>
      <c r="D155" t="s">
        <v>21</v>
      </c>
      <c r="E155" t="s">
        <v>22</v>
      </c>
      <c r="F155">
        <v>3</v>
      </c>
      <c r="G155">
        <v>71</v>
      </c>
      <c r="H155">
        <v>4.7050000000000001</v>
      </c>
      <c r="I155">
        <v>18</v>
      </c>
      <c r="J155" t="s">
        <v>2</v>
      </c>
      <c r="K155" s="1">
        <v>9.2234953703703706E-4</v>
      </c>
    </row>
    <row r="156" spans="1:11" hidden="1" x14ac:dyDescent="0.3">
      <c r="A156" t="s">
        <v>71</v>
      </c>
      <c r="B156">
        <v>3</v>
      </c>
      <c r="C156">
        <v>16</v>
      </c>
      <c r="D156" t="s">
        <v>18</v>
      </c>
      <c r="E156" t="s">
        <v>17</v>
      </c>
      <c r="F156">
        <v>4</v>
      </c>
      <c r="G156">
        <v>71</v>
      </c>
      <c r="H156">
        <v>34.387</v>
      </c>
      <c r="I156">
        <v>16</v>
      </c>
      <c r="J156" t="s">
        <v>14</v>
      </c>
      <c r="K156" s="1">
        <v>9.0666666666666662E-4</v>
      </c>
    </row>
    <row r="157" spans="1:11" hidden="1" x14ac:dyDescent="0.3">
      <c r="A157" t="s">
        <v>71</v>
      </c>
      <c r="B157">
        <v>4</v>
      </c>
      <c r="C157">
        <v>44</v>
      </c>
      <c r="D157" t="s">
        <v>23</v>
      </c>
      <c r="E157" t="s">
        <v>20</v>
      </c>
      <c r="F157">
        <v>6</v>
      </c>
      <c r="G157">
        <v>71</v>
      </c>
      <c r="H157">
        <v>44.78</v>
      </c>
      <c r="I157">
        <v>12</v>
      </c>
      <c r="J157" t="s">
        <v>2</v>
      </c>
      <c r="K157" s="1">
        <v>9.3021990740740738E-4</v>
      </c>
    </row>
    <row r="158" spans="1:11" hidden="1" x14ac:dyDescent="0.3">
      <c r="A158" t="s">
        <v>71</v>
      </c>
      <c r="B158">
        <v>5</v>
      </c>
      <c r="C158">
        <v>63</v>
      </c>
      <c r="D158" t="s">
        <v>19</v>
      </c>
      <c r="E158" t="s">
        <v>20</v>
      </c>
      <c r="F158">
        <v>5</v>
      </c>
      <c r="G158">
        <v>71</v>
      </c>
      <c r="H158">
        <v>48.536000000000001</v>
      </c>
      <c r="I158">
        <v>10</v>
      </c>
      <c r="J158" t="s">
        <v>2</v>
      </c>
      <c r="K158" s="1">
        <v>9.3438657407407403E-4</v>
      </c>
    </row>
    <row r="159" spans="1:11" x14ac:dyDescent="0.3">
      <c r="A159" t="s">
        <v>71</v>
      </c>
      <c r="B159">
        <v>6</v>
      </c>
      <c r="C159">
        <v>1</v>
      </c>
      <c r="D159" t="s">
        <v>12</v>
      </c>
      <c r="E159" t="s">
        <v>13</v>
      </c>
      <c r="F159">
        <v>2</v>
      </c>
      <c r="G159">
        <v>71</v>
      </c>
      <c r="H159">
        <v>59.558</v>
      </c>
      <c r="I159">
        <v>8</v>
      </c>
      <c r="J159" t="s">
        <v>2</v>
      </c>
      <c r="K159" s="1">
        <v>9.3601851851851854E-4</v>
      </c>
    </row>
    <row r="160" spans="1:11" hidden="1" x14ac:dyDescent="0.3">
      <c r="A160" t="s">
        <v>71</v>
      </c>
      <c r="B160">
        <v>8</v>
      </c>
      <c r="C160">
        <v>81</v>
      </c>
      <c r="D160" t="s">
        <v>24</v>
      </c>
      <c r="E160" t="s">
        <v>22</v>
      </c>
      <c r="F160">
        <v>17</v>
      </c>
      <c r="G160">
        <v>71</v>
      </c>
      <c r="H160">
        <v>64.927999999999997</v>
      </c>
      <c r="I160">
        <v>4</v>
      </c>
      <c r="J160" t="s">
        <v>2</v>
      </c>
      <c r="K160" s="1">
        <v>9.2666666666666657E-4</v>
      </c>
    </row>
    <row r="161" spans="1:11" x14ac:dyDescent="0.3">
      <c r="A161" t="s">
        <v>71</v>
      </c>
      <c r="B161">
        <v>17</v>
      </c>
      <c r="C161">
        <v>11</v>
      </c>
      <c r="D161" t="s">
        <v>15</v>
      </c>
      <c r="E161" t="s">
        <v>13</v>
      </c>
      <c r="F161">
        <v>18</v>
      </c>
      <c r="G161">
        <v>70</v>
      </c>
      <c r="H161" t="s">
        <v>30</v>
      </c>
      <c r="I161">
        <v>0</v>
      </c>
      <c r="J161" t="s">
        <v>2</v>
      </c>
      <c r="K161" s="1">
        <v>9.1677083333333335E-4</v>
      </c>
    </row>
    <row r="162" spans="1:11" x14ac:dyDescent="0.3">
      <c r="A162" t="s">
        <v>72</v>
      </c>
      <c r="B162">
        <v>1</v>
      </c>
      <c r="C162">
        <v>1</v>
      </c>
      <c r="D162" t="s">
        <v>12</v>
      </c>
      <c r="E162" t="s">
        <v>13</v>
      </c>
      <c r="F162">
        <v>17</v>
      </c>
      <c r="G162">
        <v>69</v>
      </c>
      <c r="H162" s="1">
        <v>8.8129976851851852E-2</v>
      </c>
      <c r="I162">
        <v>26</v>
      </c>
      <c r="J162" t="s">
        <v>14</v>
      </c>
      <c r="K162" s="1">
        <v>9.3138888888888893E-4</v>
      </c>
    </row>
    <row r="163" spans="1:11" hidden="1" x14ac:dyDescent="0.3">
      <c r="A163" t="s">
        <v>72</v>
      </c>
      <c r="B163">
        <v>4</v>
      </c>
      <c r="C163">
        <v>63</v>
      </c>
      <c r="D163" t="s">
        <v>19</v>
      </c>
      <c r="E163" t="s">
        <v>20</v>
      </c>
      <c r="F163">
        <v>2</v>
      </c>
      <c r="G163">
        <v>69</v>
      </c>
      <c r="H163">
        <v>23.265000000000001</v>
      </c>
      <c r="I163">
        <v>12</v>
      </c>
      <c r="J163" t="s">
        <v>2</v>
      </c>
      <c r="K163" s="1">
        <v>9.4496527777777775E-4</v>
      </c>
    </row>
    <row r="164" spans="1:11" hidden="1" x14ac:dyDescent="0.3">
      <c r="A164" t="s">
        <v>72</v>
      </c>
      <c r="B164">
        <v>5</v>
      </c>
      <c r="C164">
        <v>16</v>
      </c>
      <c r="D164" t="s">
        <v>18</v>
      </c>
      <c r="E164" t="s">
        <v>17</v>
      </c>
      <c r="F164">
        <v>6</v>
      </c>
      <c r="G164">
        <v>69</v>
      </c>
      <c r="H164">
        <v>30.177</v>
      </c>
      <c r="I164">
        <v>10</v>
      </c>
      <c r="J164" t="s">
        <v>2</v>
      </c>
      <c r="K164" s="1">
        <v>9.4480324074074074E-4</v>
      </c>
    </row>
    <row r="165" spans="1:11" hidden="1" x14ac:dyDescent="0.3">
      <c r="A165" t="s">
        <v>72</v>
      </c>
      <c r="B165">
        <v>6</v>
      </c>
      <c r="C165">
        <v>4</v>
      </c>
      <c r="D165" t="s">
        <v>21</v>
      </c>
      <c r="E165" t="s">
        <v>22</v>
      </c>
      <c r="F165">
        <v>1</v>
      </c>
      <c r="G165">
        <v>69</v>
      </c>
      <c r="H165">
        <v>31.372</v>
      </c>
      <c r="I165">
        <v>8</v>
      </c>
      <c r="J165" t="s">
        <v>2</v>
      </c>
      <c r="K165" s="1">
        <v>9.4348379629629621E-4</v>
      </c>
    </row>
    <row r="166" spans="1:11" hidden="1" x14ac:dyDescent="0.3">
      <c r="A166" t="s">
        <v>72</v>
      </c>
      <c r="B166">
        <v>8</v>
      </c>
      <c r="C166">
        <v>81</v>
      </c>
      <c r="D166" t="s">
        <v>24</v>
      </c>
      <c r="E166" t="s">
        <v>22</v>
      </c>
      <c r="F166">
        <v>8</v>
      </c>
      <c r="G166">
        <v>69</v>
      </c>
      <c r="H166">
        <v>44.942999999999998</v>
      </c>
      <c r="I166">
        <v>4</v>
      </c>
      <c r="J166" t="s">
        <v>2</v>
      </c>
      <c r="K166" s="1">
        <v>9.4365740740740738E-4</v>
      </c>
    </row>
    <row r="167" spans="1:11" hidden="1" x14ac:dyDescent="0.3">
      <c r="A167" t="s">
        <v>72</v>
      </c>
      <c r="B167">
        <v>10</v>
      </c>
      <c r="C167">
        <v>44</v>
      </c>
      <c r="D167" t="s">
        <v>23</v>
      </c>
      <c r="E167" t="s">
        <v>20</v>
      </c>
      <c r="F167">
        <v>14</v>
      </c>
      <c r="G167">
        <v>69</v>
      </c>
      <c r="H167">
        <v>50.753</v>
      </c>
      <c r="I167">
        <v>1</v>
      </c>
      <c r="J167" t="s">
        <v>2</v>
      </c>
      <c r="K167" s="1">
        <v>9.4954861111111108E-4</v>
      </c>
    </row>
    <row r="168" spans="1:11" x14ac:dyDescent="0.3">
      <c r="A168" t="s">
        <v>72</v>
      </c>
      <c r="B168">
        <v>11</v>
      </c>
      <c r="C168">
        <v>11</v>
      </c>
      <c r="D168" t="s">
        <v>15</v>
      </c>
      <c r="E168" t="s">
        <v>13</v>
      </c>
      <c r="F168">
        <v>12</v>
      </c>
      <c r="G168">
        <v>69</v>
      </c>
      <c r="H168">
        <v>51.530999999999999</v>
      </c>
      <c r="I168">
        <v>0</v>
      </c>
      <c r="J168" t="s">
        <v>2</v>
      </c>
      <c r="K168" s="1">
        <v>9.5072916666666667E-4</v>
      </c>
    </row>
    <row r="169" spans="1:11" hidden="1" x14ac:dyDescent="0.3">
      <c r="A169" t="s">
        <v>72</v>
      </c>
      <c r="B169" t="s">
        <v>47</v>
      </c>
      <c r="C169">
        <v>55</v>
      </c>
      <c r="D169" t="s">
        <v>16</v>
      </c>
      <c r="E169" t="s">
        <v>17</v>
      </c>
      <c r="F169">
        <v>20</v>
      </c>
      <c r="G169">
        <v>38</v>
      </c>
      <c r="H169" t="s">
        <v>48</v>
      </c>
      <c r="I169">
        <v>0</v>
      </c>
      <c r="J169" t="s">
        <v>2</v>
      </c>
      <c r="K169" s="1">
        <v>9.7454861111111104E-4</v>
      </c>
    </row>
    <row r="170" spans="1:11" hidden="1" x14ac:dyDescent="0.3">
      <c r="A170" t="s">
        <v>74</v>
      </c>
      <c r="B170">
        <v>1</v>
      </c>
      <c r="C170">
        <v>63</v>
      </c>
      <c r="D170" t="s">
        <v>19</v>
      </c>
      <c r="E170" t="s">
        <v>20</v>
      </c>
      <c r="F170">
        <v>1</v>
      </c>
      <c r="G170">
        <v>50</v>
      </c>
      <c r="H170" s="1">
        <v>5.7013530092592593E-2</v>
      </c>
      <c r="I170">
        <v>25</v>
      </c>
      <c r="J170" t="s">
        <v>2</v>
      </c>
      <c r="K170" s="1">
        <v>1.1078356481481482E-3</v>
      </c>
    </row>
    <row r="171" spans="1:11" hidden="1" x14ac:dyDescent="0.3">
      <c r="A171" t="s">
        <v>74</v>
      </c>
      <c r="B171">
        <v>2</v>
      </c>
      <c r="C171">
        <v>44</v>
      </c>
      <c r="D171" t="s">
        <v>23</v>
      </c>
      <c r="E171" t="s">
        <v>20</v>
      </c>
      <c r="F171">
        <v>10</v>
      </c>
      <c r="G171">
        <v>50</v>
      </c>
      <c r="H171">
        <v>7.3129999999999997</v>
      </c>
      <c r="I171">
        <v>18</v>
      </c>
      <c r="J171" t="s">
        <v>2</v>
      </c>
      <c r="K171" s="1">
        <v>1.1050925925925924E-3</v>
      </c>
    </row>
    <row r="172" spans="1:11" hidden="1" x14ac:dyDescent="0.3">
      <c r="A172" t="s">
        <v>74</v>
      </c>
      <c r="B172">
        <v>3</v>
      </c>
      <c r="C172">
        <v>55</v>
      </c>
      <c r="D172" t="s">
        <v>16</v>
      </c>
      <c r="E172" t="s">
        <v>17</v>
      </c>
      <c r="F172">
        <v>2</v>
      </c>
      <c r="G172">
        <v>50</v>
      </c>
      <c r="H172">
        <v>11.906000000000001</v>
      </c>
      <c r="I172">
        <v>15</v>
      </c>
      <c r="J172" t="s">
        <v>2</v>
      </c>
      <c r="K172" s="1">
        <v>1.1096643518518519E-3</v>
      </c>
    </row>
    <row r="173" spans="1:11" hidden="1" x14ac:dyDescent="0.3">
      <c r="A173" t="s">
        <v>74</v>
      </c>
      <c r="B173">
        <v>4</v>
      </c>
      <c r="C173">
        <v>16</v>
      </c>
      <c r="D173" t="s">
        <v>18</v>
      </c>
      <c r="E173" t="s">
        <v>17</v>
      </c>
      <c r="F173">
        <v>4</v>
      </c>
      <c r="G173">
        <v>50</v>
      </c>
      <c r="H173">
        <v>14.282999999999999</v>
      </c>
      <c r="I173">
        <v>12</v>
      </c>
      <c r="J173" t="s">
        <v>2</v>
      </c>
      <c r="K173" s="1">
        <v>1.107337962962963E-3</v>
      </c>
    </row>
    <row r="174" spans="1:11" x14ac:dyDescent="0.3">
      <c r="A174" t="s">
        <v>74</v>
      </c>
      <c r="B174">
        <v>5</v>
      </c>
      <c r="C174">
        <v>1</v>
      </c>
      <c r="D174" t="s">
        <v>12</v>
      </c>
      <c r="E174" t="s">
        <v>13</v>
      </c>
      <c r="F174">
        <v>5</v>
      </c>
      <c r="G174">
        <v>50</v>
      </c>
      <c r="H174">
        <v>16.582000000000001</v>
      </c>
      <c r="I174">
        <v>10</v>
      </c>
      <c r="J174" t="s">
        <v>2</v>
      </c>
      <c r="K174" s="1">
        <v>1.1139814814814814E-3</v>
      </c>
    </row>
    <row r="175" spans="1:11" hidden="1" x14ac:dyDescent="0.3">
      <c r="A175" t="s">
        <v>74</v>
      </c>
      <c r="B175">
        <v>6</v>
      </c>
      <c r="C175">
        <v>4</v>
      </c>
      <c r="D175" t="s">
        <v>21</v>
      </c>
      <c r="E175" t="s">
        <v>22</v>
      </c>
      <c r="F175">
        <v>6</v>
      </c>
      <c r="G175">
        <v>50</v>
      </c>
      <c r="H175">
        <v>43.384999999999998</v>
      </c>
      <c r="I175">
        <v>9</v>
      </c>
      <c r="J175" t="s">
        <v>14</v>
      </c>
      <c r="K175" s="1">
        <v>1.0981018518518518E-3</v>
      </c>
    </row>
    <row r="176" spans="1:11" hidden="1" x14ac:dyDescent="0.3">
      <c r="A176" t="s">
        <v>74</v>
      </c>
      <c r="B176">
        <v>7</v>
      </c>
      <c r="C176">
        <v>81</v>
      </c>
      <c r="D176" t="s">
        <v>24</v>
      </c>
      <c r="E176" t="s">
        <v>22</v>
      </c>
      <c r="F176">
        <v>8</v>
      </c>
      <c r="G176">
        <v>50</v>
      </c>
      <c r="H176">
        <v>51.365000000000002</v>
      </c>
      <c r="I176">
        <v>6</v>
      </c>
      <c r="J176" t="s">
        <v>2</v>
      </c>
      <c r="K176" s="1">
        <v>1.1180324074074074E-3</v>
      </c>
    </row>
    <row r="177" spans="1:11" x14ac:dyDescent="0.3">
      <c r="A177" t="s">
        <v>74</v>
      </c>
      <c r="B177">
        <v>10</v>
      </c>
      <c r="C177">
        <v>11</v>
      </c>
      <c r="D177" t="s">
        <v>15</v>
      </c>
      <c r="E177" t="s">
        <v>13</v>
      </c>
      <c r="F177">
        <v>15</v>
      </c>
      <c r="G177">
        <v>50</v>
      </c>
      <c r="H177">
        <v>63.113999999999997</v>
      </c>
      <c r="I177">
        <v>1</v>
      </c>
      <c r="J177" t="s">
        <v>2</v>
      </c>
      <c r="K177" s="1">
        <v>1.1148842592592593E-3</v>
      </c>
    </row>
    <row r="178" spans="1:11" x14ac:dyDescent="0.3">
      <c r="A178" t="s">
        <v>75</v>
      </c>
      <c r="B178">
        <v>1</v>
      </c>
      <c r="C178">
        <v>1</v>
      </c>
      <c r="D178" t="s">
        <v>12</v>
      </c>
      <c r="E178" t="s">
        <v>13</v>
      </c>
      <c r="F178">
        <v>2</v>
      </c>
      <c r="G178">
        <v>57</v>
      </c>
      <c r="H178" s="1">
        <v>6.3256053240740739E-2</v>
      </c>
      <c r="I178">
        <v>25</v>
      </c>
      <c r="J178" t="s">
        <v>2</v>
      </c>
      <c r="K178" s="1">
        <v>9.5954861111111111E-4</v>
      </c>
    </row>
    <row r="179" spans="1:11" hidden="1" x14ac:dyDescent="0.3">
      <c r="A179" t="s">
        <v>75</v>
      </c>
      <c r="B179">
        <v>2</v>
      </c>
      <c r="C179">
        <v>16</v>
      </c>
      <c r="D179" t="s">
        <v>18</v>
      </c>
      <c r="E179" t="s">
        <v>17</v>
      </c>
      <c r="F179">
        <v>5</v>
      </c>
      <c r="G179">
        <v>57</v>
      </c>
      <c r="H179">
        <v>6.0309999999999997</v>
      </c>
      <c r="I179">
        <v>18</v>
      </c>
      <c r="J179" t="s">
        <v>2</v>
      </c>
      <c r="K179" s="1">
        <v>9.6344907407407414E-4</v>
      </c>
    </row>
    <row r="180" spans="1:11" hidden="1" x14ac:dyDescent="0.3">
      <c r="A180" t="s">
        <v>75</v>
      </c>
      <c r="B180">
        <v>3</v>
      </c>
      <c r="C180">
        <v>81</v>
      </c>
      <c r="D180" t="s">
        <v>24</v>
      </c>
      <c r="E180" t="s">
        <v>22</v>
      </c>
      <c r="F180">
        <v>4</v>
      </c>
      <c r="G180">
        <v>57</v>
      </c>
      <c r="H180">
        <v>6.819</v>
      </c>
      <c r="I180">
        <v>15</v>
      </c>
      <c r="J180" t="s">
        <v>2</v>
      </c>
      <c r="K180" s="1">
        <v>9.6317129629629639E-4</v>
      </c>
    </row>
    <row r="181" spans="1:11" hidden="1" x14ac:dyDescent="0.3">
      <c r="A181" t="s">
        <v>75</v>
      </c>
      <c r="B181">
        <v>4</v>
      </c>
      <c r="C181">
        <v>63</v>
      </c>
      <c r="D181" t="s">
        <v>19</v>
      </c>
      <c r="E181" t="s">
        <v>20</v>
      </c>
      <c r="F181">
        <v>1</v>
      </c>
      <c r="G181">
        <v>57</v>
      </c>
      <c r="H181">
        <v>14.103999999999999</v>
      </c>
      <c r="I181">
        <v>12</v>
      </c>
      <c r="J181" t="s">
        <v>2</v>
      </c>
      <c r="K181" s="1">
        <v>9.6475694444444452E-4</v>
      </c>
    </row>
    <row r="182" spans="1:11" hidden="1" x14ac:dyDescent="0.3">
      <c r="A182" t="s">
        <v>75</v>
      </c>
      <c r="B182">
        <v>6</v>
      </c>
      <c r="C182">
        <v>55</v>
      </c>
      <c r="D182" t="s">
        <v>16</v>
      </c>
      <c r="E182" t="s">
        <v>17</v>
      </c>
      <c r="F182">
        <v>7</v>
      </c>
      <c r="G182">
        <v>57</v>
      </c>
      <c r="H182">
        <v>17.475999999999999</v>
      </c>
      <c r="I182">
        <v>8</v>
      </c>
      <c r="J182" t="s">
        <v>2</v>
      </c>
      <c r="K182" s="1">
        <v>9.6603009259259266E-4</v>
      </c>
    </row>
    <row r="183" spans="1:11" hidden="1" x14ac:dyDescent="0.3">
      <c r="A183" t="s">
        <v>75</v>
      </c>
      <c r="B183">
        <v>10</v>
      </c>
      <c r="C183">
        <v>4</v>
      </c>
      <c r="D183" t="s">
        <v>21</v>
      </c>
      <c r="E183" t="s">
        <v>22</v>
      </c>
      <c r="F183">
        <v>3</v>
      </c>
      <c r="G183">
        <v>57</v>
      </c>
      <c r="H183">
        <v>35.762</v>
      </c>
      <c r="I183">
        <v>2</v>
      </c>
      <c r="J183" t="s">
        <v>14</v>
      </c>
      <c r="K183" s="1">
        <v>9.5351851851851847E-4</v>
      </c>
    </row>
    <row r="184" spans="1:11" hidden="1" x14ac:dyDescent="0.3">
      <c r="A184" t="s">
        <v>75</v>
      </c>
      <c r="B184">
        <v>12</v>
      </c>
      <c r="C184">
        <v>44</v>
      </c>
      <c r="D184" t="s">
        <v>23</v>
      </c>
      <c r="E184" t="s">
        <v>20</v>
      </c>
      <c r="F184">
        <v>6</v>
      </c>
      <c r="G184">
        <v>57</v>
      </c>
      <c r="H184">
        <v>56.122</v>
      </c>
      <c r="I184">
        <v>0</v>
      </c>
      <c r="J184" t="s">
        <v>2</v>
      </c>
      <c r="K184" s="1">
        <v>9.7065972222222215E-4</v>
      </c>
    </row>
    <row r="185" spans="1:11" x14ac:dyDescent="0.3">
      <c r="A185" t="s">
        <v>75</v>
      </c>
      <c r="B185" t="s">
        <v>47</v>
      </c>
      <c r="C185">
        <v>11</v>
      </c>
      <c r="D185" t="s">
        <v>15</v>
      </c>
      <c r="E185" t="s">
        <v>13</v>
      </c>
      <c r="F185">
        <v>9</v>
      </c>
      <c r="G185">
        <v>38</v>
      </c>
      <c r="H185" t="s">
        <v>48</v>
      </c>
      <c r="I185">
        <v>0</v>
      </c>
      <c r="J185" t="s">
        <v>2</v>
      </c>
      <c r="K185" s="1">
        <v>9.8712962962962968E-4</v>
      </c>
    </row>
    <row r="186" spans="1:11" hidden="1" x14ac:dyDescent="0.3">
      <c r="A186" t="s">
        <v>76</v>
      </c>
      <c r="B186">
        <v>1</v>
      </c>
      <c r="C186">
        <v>4</v>
      </c>
      <c r="D186" t="s">
        <v>21</v>
      </c>
      <c r="E186" t="s">
        <v>22</v>
      </c>
      <c r="F186">
        <v>1</v>
      </c>
      <c r="G186">
        <v>58</v>
      </c>
      <c r="H186" s="1">
        <v>6.0107534722222224E-2</v>
      </c>
      <c r="I186">
        <v>25</v>
      </c>
      <c r="J186" t="s">
        <v>2</v>
      </c>
      <c r="K186" s="1">
        <v>1.0120138888888889E-3</v>
      </c>
    </row>
    <row r="187" spans="1:11" hidden="1" x14ac:dyDescent="0.3">
      <c r="A187" t="s">
        <v>76</v>
      </c>
      <c r="B187">
        <v>2</v>
      </c>
      <c r="C187">
        <v>55</v>
      </c>
      <c r="D187" t="s">
        <v>16</v>
      </c>
      <c r="E187" t="s">
        <v>17</v>
      </c>
      <c r="F187">
        <v>3</v>
      </c>
      <c r="G187">
        <v>58</v>
      </c>
      <c r="H187">
        <v>5.8319999999999999</v>
      </c>
      <c r="I187">
        <v>18</v>
      </c>
      <c r="J187" t="s">
        <v>2</v>
      </c>
      <c r="K187" s="1">
        <v>1.0157986111111112E-3</v>
      </c>
    </row>
    <row r="188" spans="1:11" hidden="1" x14ac:dyDescent="0.3">
      <c r="A188" t="s">
        <v>76</v>
      </c>
      <c r="B188">
        <v>3</v>
      </c>
      <c r="C188">
        <v>16</v>
      </c>
      <c r="D188" t="s">
        <v>18</v>
      </c>
      <c r="E188" t="s">
        <v>17</v>
      </c>
      <c r="F188">
        <v>19</v>
      </c>
      <c r="G188">
        <v>58</v>
      </c>
      <c r="H188">
        <v>31.928000000000001</v>
      </c>
      <c r="I188">
        <v>15</v>
      </c>
      <c r="J188" t="s">
        <v>2</v>
      </c>
      <c r="K188" s="1">
        <v>1.0187268518518518E-3</v>
      </c>
    </row>
    <row r="189" spans="1:11" hidden="1" x14ac:dyDescent="0.3">
      <c r="A189" t="s">
        <v>76</v>
      </c>
      <c r="B189">
        <v>4</v>
      </c>
      <c r="C189">
        <v>44</v>
      </c>
      <c r="D189" t="s">
        <v>23</v>
      </c>
      <c r="E189" t="s">
        <v>20</v>
      </c>
      <c r="F189">
        <v>16</v>
      </c>
      <c r="G189">
        <v>58</v>
      </c>
      <c r="H189">
        <v>36.482999999999997</v>
      </c>
      <c r="I189">
        <v>12</v>
      </c>
      <c r="J189" t="s">
        <v>2</v>
      </c>
      <c r="K189" s="1">
        <v>1.0101620370370368E-3</v>
      </c>
    </row>
    <row r="190" spans="1:11" hidden="1" x14ac:dyDescent="0.3">
      <c r="A190" t="s">
        <v>76</v>
      </c>
      <c r="B190">
        <v>5</v>
      </c>
      <c r="C190">
        <v>63</v>
      </c>
      <c r="D190" t="s">
        <v>19</v>
      </c>
      <c r="E190" t="s">
        <v>20</v>
      </c>
      <c r="F190">
        <v>6</v>
      </c>
      <c r="G190">
        <v>58</v>
      </c>
      <c r="H190">
        <v>37.537999999999997</v>
      </c>
      <c r="I190">
        <v>10</v>
      </c>
      <c r="J190" t="s">
        <v>2</v>
      </c>
      <c r="K190" s="1">
        <v>1.0207754629629629E-3</v>
      </c>
    </row>
    <row r="191" spans="1:11" x14ac:dyDescent="0.3">
      <c r="A191" t="s">
        <v>76</v>
      </c>
      <c r="B191">
        <v>6</v>
      </c>
      <c r="C191">
        <v>1</v>
      </c>
      <c r="D191" t="s">
        <v>12</v>
      </c>
      <c r="E191" t="s">
        <v>13</v>
      </c>
      <c r="F191">
        <v>4</v>
      </c>
      <c r="G191">
        <v>58</v>
      </c>
      <c r="H191">
        <v>49.847000000000001</v>
      </c>
      <c r="I191">
        <v>8</v>
      </c>
      <c r="J191" t="s">
        <v>2</v>
      </c>
      <c r="K191" s="1">
        <v>1.0157986111111112E-3</v>
      </c>
    </row>
    <row r="192" spans="1:11" hidden="1" x14ac:dyDescent="0.3">
      <c r="A192" t="s">
        <v>76</v>
      </c>
      <c r="B192">
        <v>10</v>
      </c>
      <c r="C192">
        <v>81</v>
      </c>
      <c r="D192" t="s">
        <v>24</v>
      </c>
      <c r="E192" t="s">
        <v>22</v>
      </c>
      <c r="F192">
        <v>2</v>
      </c>
      <c r="G192">
        <v>58</v>
      </c>
      <c r="H192">
        <v>83.820999999999998</v>
      </c>
      <c r="I192">
        <v>1</v>
      </c>
      <c r="J192" t="s">
        <v>2</v>
      </c>
      <c r="K192" s="1">
        <v>1.0149305555555556E-3</v>
      </c>
    </row>
    <row r="193" spans="1:10" x14ac:dyDescent="0.3">
      <c r="A193" t="s">
        <v>76</v>
      </c>
      <c r="B193" t="s">
        <v>47</v>
      </c>
      <c r="C193">
        <v>11</v>
      </c>
      <c r="D193" t="s">
        <v>15</v>
      </c>
      <c r="E193" t="s">
        <v>13</v>
      </c>
      <c r="F193">
        <v>10</v>
      </c>
      <c r="G193">
        <v>0</v>
      </c>
      <c r="H193" t="s">
        <v>48</v>
      </c>
      <c r="I193">
        <v>0</v>
      </c>
      <c r="J193" t="s">
        <v>2</v>
      </c>
    </row>
  </sheetData>
  <autoFilter ref="A1:K193" xr:uid="{6B32722E-E332-46B6-A1DB-2434236921A9}">
    <filterColumn colId="4">
      <filters>
        <filter val="Red Bull Racing Honda RBP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C48A-DF2F-4AE4-9661-7BC5997CD342}">
  <dimension ref="A1:O49"/>
  <sheetViews>
    <sheetView workbookViewId="0">
      <selection activeCell="I12" sqref="I12"/>
    </sheetView>
  </sheetViews>
  <sheetFormatPr defaultRowHeight="14.4" x14ac:dyDescent="0.3"/>
  <cols>
    <col min="2" max="2" width="26.33203125" bestFit="1" customWidth="1"/>
    <col min="4" max="4" width="15.109375" bestFit="1" customWidth="1"/>
    <col min="5" max="5" width="26.33203125" bestFit="1" customWidth="1"/>
    <col min="6" max="6" width="11.88671875" bestFit="1" customWidth="1"/>
    <col min="8" max="8" width="12.109375" bestFit="1" customWidth="1"/>
    <col min="9" max="9" width="6.5546875" bestFit="1" customWidth="1"/>
    <col min="10" max="10" width="14" bestFit="1" customWidth="1"/>
    <col min="12" max="12" width="9.109375" customWidth="1"/>
    <col min="14" max="14" width="16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78</v>
      </c>
      <c r="O1" t="s">
        <v>87</v>
      </c>
    </row>
    <row r="2" spans="1:15" x14ac:dyDescent="0.3">
      <c r="A2" t="s">
        <v>11</v>
      </c>
      <c r="B2">
        <v>1</v>
      </c>
      <c r="C2">
        <v>1</v>
      </c>
      <c r="D2" t="s">
        <v>12</v>
      </c>
      <c r="E2" t="s">
        <v>13</v>
      </c>
      <c r="F2">
        <v>1</v>
      </c>
      <c r="G2">
        <v>57</v>
      </c>
      <c r="H2" s="1">
        <v>6.3712291666666671E-2</v>
      </c>
      <c r="I2">
        <v>26</v>
      </c>
      <c r="J2" t="s">
        <v>14</v>
      </c>
      <c r="K2" s="1">
        <v>1.0718518518518518E-3</v>
      </c>
      <c r="L2">
        <f>I2+I3</f>
        <v>44</v>
      </c>
      <c r="N2">
        <v>44</v>
      </c>
      <c r="O2">
        <f>_xlfn.XLOOKUP(A2,Formula1_2024season_raceResults!A:A,Formula1_2024season_raceResults!L:L)</f>
        <v>1</v>
      </c>
    </row>
    <row r="3" spans="1:15" x14ac:dyDescent="0.3">
      <c r="A3" t="s">
        <v>11</v>
      </c>
      <c r="B3">
        <v>2</v>
      </c>
      <c r="C3">
        <v>11</v>
      </c>
      <c r="D3" t="s">
        <v>15</v>
      </c>
      <c r="E3" t="s">
        <v>13</v>
      </c>
      <c r="F3">
        <v>5</v>
      </c>
      <c r="G3">
        <v>57</v>
      </c>
      <c r="H3">
        <v>22.457000000000001</v>
      </c>
      <c r="I3">
        <v>18</v>
      </c>
      <c r="J3" t="s">
        <v>2</v>
      </c>
      <c r="K3" s="1">
        <v>1.0921759259259259E-3</v>
      </c>
      <c r="O3">
        <f>_xlfn.XLOOKUP(A3,Formula1_2024season_raceResults!A:A,Formula1_2024season_raceResults!L:L)</f>
        <v>1</v>
      </c>
    </row>
    <row r="4" spans="1:15" x14ac:dyDescent="0.3">
      <c r="A4" t="s">
        <v>45</v>
      </c>
      <c r="B4">
        <v>1</v>
      </c>
      <c r="C4">
        <v>1</v>
      </c>
      <c r="D4" t="s">
        <v>12</v>
      </c>
      <c r="E4" t="s">
        <v>13</v>
      </c>
      <c r="F4">
        <v>1</v>
      </c>
      <c r="G4">
        <v>50</v>
      </c>
      <c r="H4" s="1">
        <v>5.6056400462962966E-2</v>
      </c>
      <c r="I4">
        <v>25</v>
      </c>
      <c r="J4" t="s">
        <v>2</v>
      </c>
      <c r="K4" s="1">
        <v>1.0621875E-3</v>
      </c>
      <c r="L4">
        <f>I4+I5</f>
        <v>43</v>
      </c>
      <c r="N4">
        <v>43</v>
      </c>
      <c r="O4">
        <f>_xlfn.XLOOKUP(A4,Formula1_2024season_raceResults!A:A,Formula1_2024season_raceResults!L:L)</f>
        <v>2</v>
      </c>
    </row>
    <row r="5" spans="1:15" x14ac:dyDescent="0.3">
      <c r="A5" t="s">
        <v>45</v>
      </c>
      <c r="B5">
        <v>2</v>
      </c>
      <c r="C5">
        <v>11</v>
      </c>
      <c r="D5" t="s">
        <v>15</v>
      </c>
      <c r="E5" t="s">
        <v>13</v>
      </c>
      <c r="F5">
        <v>3</v>
      </c>
      <c r="G5">
        <v>50</v>
      </c>
      <c r="H5">
        <v>13.643000000000001</v>
      </c>
      <c r="I5">
        <v>18</v>
      </c>
      <c r="J5" t="s">
        <v>2</v>
      </c>
      <c r="K5" s="1">
        <v>1.067974537037037E-3</v>
      </c>
      <c r="O5">
        <f>_xlfn.XLOOKUP(A5,Formula1_2024season_raceResults!A:A,Formula1_2024season_raceResults!L:L)</f>
        <v>2</v>
      </c>
    </row>
    <row r="6" spans="1:15" x14ac:dyDescent="0.3">
      <c r="A6" t="s">
        <v>49</v>
      </c>
      <c r="B6">
        <v>5</v>
      </c>
      <c r="C6">
        <v>11</v>
      </c>
      <c r="D6" t="s">
        <v>15</v>
      </c>
      <c r="E6" t="s">
        <v>13</v>
      </c>
      <c r="F6">
        <v>6</v>
      </c>
      <c r="G6">
        <v>58</v>
      </c>
      <c r="H6">
        <v>56.308999999999997</v>
      </c>
      <c r="I6">
        <v>10</v>
      </c>
      <c r="J6" t="s">
        <v>2</v>
      </c>
      <c r="K6" s="1">
        <v>9.3041666666666674E-4</v>
      </c>
      <c r="L6">
        <f>I6+I7</f>
        <v>10</v>
      </c>
      <c r="N6">
        <v>10</v>
      </c>
      <c r="O6">
        <f>_xlfn.XLOOKUP(A6,Formula1_2024season_raceResults!A:A,Formula1_2024season_raceResults!L:L)</f>
        <v>3</v>
      </c>
    </row>
    <row r="7" spans="1:15" x14ac:dyDescent="0.3">
      <c r="A7" t="s">
        <v>49</v>
      </c>
      <c r="C7">
        <v>1</v>
      </c>
      <c r="D7" t="s">
        <v>12</v>
      </c>
      <c r="E7" t="s">
        <v>13</v>
      </c>
      <c r="F7">
        <v>1</v>
      </c>
      <c r="G7">
        <v>3</v>
      </c>
      <c r="H7" t="s">
        <v>48</v>
      </c>
      <c r="I7">
        <v>0</v>
      </c>
      <c r="J7" t="s">
        <v>2</v>
      </c>
      <c r="K7" s="1">
        <v>9.6197916666666665E-4</v>
      </c>
      <c r="O7">
        <f>_xlfn.XLOOKUP(A7,Formula1_2024season_raceResults!A:A,Formula1_2024season_raceResults!L:L)</f>
        <v>3</v>
      </c>
    </row>
    <row r="8" spans="1:15" x14ac:dyDescent="0.3">
      <c r="A8" t="s">
        <v>50</v>
      </c>
      <c r="B8">
        <v>1</v>
      </c>
      <c r="C8">
        <v>1</v>
      </c>
      <c r="D8" t="s">
        <v>12</v>
      </c>
      <c r="E8" t="s">
        <v>13</v>
      </c>
      <c r="F8">
        <v>1</v>
      </c>
      <c r="G8">
        <v>53</v>
      </c>
      <c r="H8" s="1">
        <v>7.9439421296296289E-2</v>
      </c>
      <c r="I8">
        <v>26</v>
      </c>
      <c r="J8" t="s">
        <v>14</v>
      </c>
      <c r="K8" s="1">
        <v>1.0845601851851851E-3</v>
      </c>
      <c r="L8">
        <f>I8+I9</f>
        <v>44</v>
      </c>
      <c r="N8">
        <v>44</v>
      </c>
      <c r="O8">
        <f>_xlfn.XLOOKUP(A8,Formula1_2024season_raceResults!A:A,Formula1_2024season_raceResults!L:L)</f>
        <v>4</v>
      </c>
    </row>
    <row r="9" spans="1:15" x14ac:dyDescent="0.3">
      <c r="A9" t="s">
        <v>50</v>
      </c>
      <c r="B9">
        <v>2</v>
      </c>
      <c r="C9">
        <v>11</v>
      </c>
      <c r="D9" t="s">
        <v>15</v>
      </c>
      <c r="E9" t="s">
        <v>13</v>
      </c>
      <c r="F9">
        <v>2</v>
      </c>
      <c r="G9">
        <v>53</v>
      </c>
      <c r="H9">
        <v>12.535</v>
      </c>
      <c r="I9">
        <v>18</v>
      </c>
      <c r="J9" t="s">
        <v>2</v>
      </c>
      <c r="K9" s="1">
        <v>1.0873263888888888E-3</v>
      </c>
      <c r="O9">
        <f>_xlfn.XLOOKUP(A9,Formula1_2024season_raceResults!A:A,Formula1_2024season_raceResults!L:L)</f>
        <v>4</v>
      </c>
    </row>
    <row r="10" spans="1:15" x14ac:dyDescent="0.3">
      <c r="A10" t="s">
        <v>51</v>
      </c>
      <c r="B10">
        <v>1</v>
      </c>
      <c r="C10">
        <v>1</v>
      </c>
      <c r="D10" t="s">
        <v>12</v>
      </c>
      <c r="E10" t="s">
        <v>13</v>
      </c>
      <c r="F10">
        <v>1</v>
      </c>
      <c r="G10">
        <v>56</v>
      </c>
      <c r="H10" s="1">
        <v>7.0052708333333338E-2</v>
      </c>
      <c r="I10">
        <v>25</v>
      </c>
      <c r="J10" t="s">
        <v>2</v>
      </c>
      <c r="K10" s="1">
        <v>1.1389583333333334E-3</v>
      </c>
      <c r="L10">
        <f>I10+I11</f>
        <v>40</v>
      </c>
      <c r="N10">
        <v>40</v>
      </c>
      <c r="O10">
        <f>_xlfn.XLOOKUP(A10,Formula1_2024season_raceResults!A:A,Formula1_2024season_raceResults!L:L)</f>
        <v>5</v>
      </c>
    </row>
    <row r="11" spans="1:15" x14ac:dyDescent="0.3">
      <c r="A11" t="s">
        <v>51</v>
      </c>
      <c r="B11">
        <v>3</v>
      </c>
      <c r="C11">
        <v>11</v>
      </c>
      <c r="D11" t="s">
        <v>15</v>
      </c>
      <c r="E11" t="s">
        <v>13</v>
      </c>
      <c r="F11">
        <v>2</v>
      </c>
      <c r="G11">
        <v>56</v>
      </c>
      <c r="H11">
        <v>19.16</v>
      </c>
      <c r="I11">
        <v>15</v>
      </c>
      <c r="J11" t="s">
        <v>2</v>
      </c>
      <c r="K11" s="1">
        <v>1.1503240740740742E-3</v>
      </c>
      <c r="O11">
        <f>_xlfn.XLOOKUP(A11,Formula1_2024season_raceResults!A:A,Formula1_2024season_raceResults!L:L)</f>
        <v>5</v>
      </c>
    </row>
    <row r="12" spans="1:15" x14ac:dyDescent="0.3">
      <c r="A12" t="s">
        <v>52</v>
      </c>
      <c r="B12">
        <v>2</v>
      </c>
      <c r="C12">
        <v>1</v>
      </c>
      <c r="D12" t="s">
        <v>12</v>
      </c>
      <c r="E12" t="s">
        <v>13</v>
      </c>
      <c r="F12">
        <v>1</v>
      </c>
      <c r="G12">
        <v>57</v>
      </c>
      <c r="H12">
        <v>7.6120000000000001</v>
      </c>
      <c r="I12">
        <v>18</v>
      </c>
      <c r="J12" t="s">
        <v>2</v>
      </c>
      <c r="K12" s="1">
        <v>1.056261574074074E-3</v>
      </c>
      <c r="L12">
        <f>I12+I13</f>
        <v>30</v>
      </c>
      <c r="N12">
        <v>30</v>
      </c>
      <c r="O12">
        <f>_xlfn.XLOOKUP(A12,Formula1_2024season_raceResults!A:A,Formula1_2024season_raceResults!L:L)</f>
        <v>6</v>
      </c>
    </row>
    <row r="13" spans="1:15" x14ac:dyDescent="0.3">
      <c r="A13" t="s">
        <v>52</v>
      </c>
      <c r="B13">
        <v>4</v>
      </c>
      <c r="C13">
        <v>11</v>
      </c>
      <c r="D13" t="s">
        <v>15</v>
      </c>
      <c r="E13" t="s">
        <v>13</v>
      </c>
      <c r="F13">
        <v>4</v>
      </c>
      <c r="G13">
        <v>57</v>
      </c>
      <c r="H13">
        <v>14.65</v>
      </c>
      <c r="I13">
        <v>12</v>
      </c>
      <c r="J13" t="s">
        <v>2</v>
      </c>
      <c r="K13" s="1">
        <v>1.0515625E-3</v>
      </c>
      <c r="O13">
        <f>_xlfn.XLOOKUP(A13,Formula1_2024season_raceResults!A:A,Formula1_2024season_raceResults!L:L)</f>
        <v>6</v>
      </c>
    </row>
    <row r="14" spans="1:15" x14ac:dyDescent="0.3">
      <c r="A14" t="s">
        <v>53</v>
      </c>
      <c r="B14">
        <v>1</v>
      </c>
      <c r="C14">
        <v>1</v>
      </c>
      <c r="D14" t="s">
        <v>12</v>
      </c>
      <c r="E14" t="s">
        <v>13</v>
      </c>
      <c r="F14">
        <v>1</v>
      </c>
      <c r="G14">
        <v>63</v>
      </c>
      <c r="H14" s="1">
        <v>5.9320046296296301E-2</v>
      </c>
      <c r="I14">
        <v>25</v>
      </c>
      <c r="J14" t="s">
        <v>2</v>
      </c>
      <c r="K14" s="1">
        <v>9.3016203703703707E-4</v>
      </c>
      <c r="L14">
        <f>I14+I15</f>
        <v>29</v>
      </c>
      <c r="N14">
        <v>29</v>
      </c>
      <c r="O14">
        <f>_xlfn.XLOOKUP(A14,Formula1_2024season_raceResults!A:A,Formula1_2024season_raceResults!L:L)</f>
        <v>7</v>
      </c>
    </row>
    <row r="15" spans="1:15" x14ac:dyDescent="0.3">
      <c r="A15" t="s">
        <v>53</v>
      </c>
      <c r="B15">
        <v>8</v>
      </c>
      <c r="C15">
        <v>11</v>
      </c>
      <c r="D15" t="s">
        <v>15</v>
      </c>
      <c r="E15" t="s">
        <v>13</v>
      </c>
      <c r="F15">
        <v>11</v>
      </c>
      <c r="G15">
        <v>63</v>
      </c>
      <c r="H15">
        <v>54.776000000000003</v>
      </c>
      <c r="I15">
        <v>4</v>
      </c>
      <c r="J15" t="s">
        <v>2</v>
      </c>
      <c r="K15" s="1">
        <v>9.2229166666666675E-4</v>
      </c>
      <c r="O15">
        <f>_xlfn.XLOOKUP(A15,Formula1_2024season_raceResults!A:A,Formula1_2024season_raceResults!L:L)</f>
        <v>7</v>
      </c>
    </row>
    <row r="16" spans="1:15" x14ac:dyDescent="0.3">
      <c r="A16" t="s">
        <v>54</v>
      </c>
      <c r="B16">
        <v>6</v>
      </c>
      <c r="C16">
        <v>1</v>
      </c>
      <c r="D16" t="s">
        <v>12</v>
      </c>
      <c r="E16" t="s">
        <v>13</v>
      </c>
      <c r="F16">
        <v>6</v>
      </c>
      <c r="G16">
        <v>78</v>
      </c>
      <c r="H16">
        <v>13.853</v>
      </c>
      <c r="I16">
        <v>8</v>
      </c>
      <c r="J16" t="s">
        <v>2</v>
      </c>
      <c r="K16" s="1">
        <v>8.6306712962962964E-4</v>
      </c>
      <c r="L16">
        <f>I16+I17</f>
        <v>8</v>
      </c>
      <c r="N16">
        <v>8</v>
      </c>
      <c r="O16">
        <f>_xlfn.XLOOKUP(A16,Formula1_2024season_raceResults!A:A,Formula1_2024season_raceResults!L:L)</f>
        <v>8</v>
      </c>
    </row>
    <row r="17" spans="1:15" x14ac:dyDescent="0.3">
      <c r="A17" t="s">
        <v>54</v>
      </c>
      <c r="C17">
        <v>11</v>
      </c>
      <c r="D17" t="s">
        <v>15</v>
      </c>
      <c r="E17" t="s">
        <v>13</v>
      </c>
      <c r="F17">
        <v>16</v>
      </c>
      <c r="G17">
        <v>0</v>
      </c>
      <c r="H17" t="s">
        <v>48</v>
      </c>
      <c r="I17">
        <v>0</v>
      </c>
      <c r="J17" t="s">
        <v>2</v>
      </c>
      <c r="O17">
        <f>_xlfn.XLOOKUP(A17,Formula1_2024season_raceResults!A:A,Formula1_2024season_raceResults!L:L)</f>
        <v>8</v>
      </c>
    </row>
    <row r="18" spans="1:15" x14ac:dyDescent="0.3">
      <c r="A18" t="s">
        <v>55</v>
      </c>
      <c r="B18">
        <v>1</v>
      </c>
      <c r="C18">
        <v>1</v>
      </c>
      <c r="D18" t="s">
        <v>12</v>
      </c>
      <c r="E18" t="s">
        <v>13</v>
      </c>
      <c r="F18">
        <v>2</v>
      </c>
      <c r="G18">
        <v>70</v>
      </c>
      <c r="H18" s="1">
        <v>7.3471377314814817E-2</v>
      </c>
      <c r="I18">
        <v>25</v>
      </c>
      <c r="J18" t="s">
        <v>2</v>
      </c>
      <c r="K18" s="1">
        <v>8.7464120370370376E-4</v>
      </c>
      <c r="L18">
        <f>I18+I19</f>
        <v>25</v>
      </c>
      <c r="N18">
        <v>25</v>
      </c>
      <c r="O18">
        <f>_xlfn.XLOOKUP(A18,Formula1_2024season_raceResults!A:A,Formula1_2024season_raceResults!L:L)</f>
        <v>9</v>
      </c>
    </row>
    <row r="19" spans="1:15" x14ac:dyDescent="0.3">
      <c r="A19" t="s">
        <v>55</v>
      </c>
      <c r="C19">
        <v>11</v>
      </c>
      <c r="D19" t="s">
        <v>15</v>
      </c>
      <c r="E19" t="s">
        <v>13</v>
      </c>
      <c r="F19">
        <v>16</v>
      </c>
      <c r="G19">
        <v>51</v>
      </c>
      <c r="H19" t="s">
        <v>48</v>
      </c>
      <c r="I19">
        <v>0</v>
      </c>
      <c r="J19" t="s">
        <v>2</v>
      </c>
      <c r="K19" s="1">
        <v>9.1225694444444449E-4</v>
      </c>
      <c r="O19">
        <f>_xlfn.XLOOKUP(A19,Formula1_2024season_raceResults!A:A,Formula1_2024season_raceResults!L:L)</f>
        <v>9</v>
      </c>
    </row>
    <row r="20" spans="1:15" x14ac:dyDescent="0.3">
      <c r="A20" t="s">
        <v>56</v>
      </c>
      <c r="B20">
        <v>1</v>
      </c>
      <c r="C20">
        <v>1</v>
      </c>
      <c r="D20" t="s">
        <v>12</v>
      </c>
      <c r="E20" t="s">
        <v>13</v>
      </c>
      <c r="F20">
        <v>2</v>
      </c>
      <c r="G20">
        <v>66</v>
      </c>
      <c r="H20" s="1">
        <v>6.1345219907407406E-2</v>
      </c>
      <c r="I20">
        <v>25</v>
      </c>
      <c r="J20" t="s">
        <v>2</v>
      </c>
      <c r="K20" s="1">
        <v>9.0018518518518518E-4</v>
      </c>
      <c r="L20">
        <f>I20+I21</f>
        <v>29</v>
      </c>
      <c r="N20">
        <v>29</v>
      </c>
      <c r="O20">
        <f>_xlfn.XLOOKUP(A20,Formula1_2024season_raceResults!A:A,Formula1_2024season_raceResults!L:L)</f>
        <v>10</v>
      </c>
    </row>
    <row r="21" spans="1:15" x14ac:dyDescent="0.3">
      <c r="A21" t="s">
        <v>56</v>
      </c>
      <c r="B21">
        <v>8</v>
      </c>
      <c r="C21">
        <v>11</v>
      </c>
      <c r="D21" t="s">
        <v>15</v>
      </c>
      <c r="E21" t="s">
        <v>13</v>
      </c>
      <c r="F21">
        <v>11</v>
      </c>
      <c r="G21">
        <v>66</v>
      </c>
      <c r="H21">
        <v>59.524000000000001</v>
      </c>
      <c r="I21">
        <v>4</v>
      </c>
      <c r="J21" t="s">
        <v>2</v>
      </c>
      <c r="K21" s="1">
        <v>9.0028935185185177E-4</v>
      </c>
      <c r="O21">
        <f>_xlfn.XLOOKUP(A21,Formula1_2024season_raceResults!A:A,Formula1_2024season_raceResults!L:L)</f>
        <v>10</v>
      </c>
    </row>
    <row r="22" spans="1:15" x14ac:dyDescent="0.3">
      <c r="A22" t="s">
        <v>57</v>
      </c>
      <c r="B22">
        <v>5</v>
      </c>
      <c r="C22">
        <v>1</v>
      </c>
      <c r="D22" t="s">
        <v>12</v>
      </c>
      <c r="E22" t="s">
        <v>13</v>
      </c>
      <c r="F22">
        <v>1</v>
      </c>
      <c r="G22">
        <v>71</v>
      </c>
      <c r="H22">
        <v>37.253</v>
      </c>
      <c r="I22">
        <v>10</v>
      </c>
      <c r="J22" t="s">
        <v>2</v>
      </c>
      <c r="K22" s="1">
        <v>7.8378472222222217E-4</v>
      </c>
      <c r="L22">
        <f>I22+I23</f>
        <v>16</v>
      </c>
      <c r="N22">
        <v>16</v>
      </c>
      <c r="O22">
        <f>_xlfn.XLOOKUP(A22,Formula1_2024season_raceResults!A:A,Formula1_2024season_raceResults!L:L)</f>
        <v>11</v>
      </c>
    </row>
    <row r="23" spans="1:15" x14ac:dyDescent="0.3">
      <c r="A23" t="s">
        <v>57</v>
      </c>
      <c r="B23">
        <v>7</v>
      </c>
      <c r="C23">
        <v>11</v>
      </c>
      <c r="D23" t="s">
        <v>15</v>
      </c>
      <c r="E23" t="s">
        <v>13</v>
      </c>
      <c r="F23">
        <v>8</v>
      </c>
      <c r="G23">
        <v>71</v>
      </c>
      <c r="H23">
        <v>54.671999999999997</v>
      </c>
      <c r="I23">
        <v>6</v>
      </c>
      <c r="J23" t="s">
        <v>2</v>
      </c>
      <c r="K23" s="1">
        <v>8.0664351851851849E-4</v>
      </c>
      <c r="O23">
        <f>_xlfn.XLOOKUP(A23,Formula1_2024season_raceResults!A:A,Formula1_2024season_raceResults!L:L)</f>
        <v>11</v>
      </c>
    </row>
    <row r="24" spans="1:15" x14ac:dyDescent="0.3">
      <c r="A24" t="s">
        <v>59</v>
      </c>
      <c r="B24">
        <v>2</v>
      </c>
      <c r="C24">
        <v>1</v>
      </c>
      <c r="D24" t="s">
        <v>12</v>
      </c>
      <c r="E24" t="s">
        <v>13</v>
      </c>
      <c r="F24">
        <v>4</v>
      </c>
      <c r="G24">
        <v>52</v>
      </c>
      <c r="H24">
        <v>1.4650000000000001</v>
      </c>
      <c r="I24">
        <v>18</v>
      </c>
      <c r="J24" t="s">
        <v>2</v>
      </c>
      <c r="K24" s="1">
        <v>1.0295370370370369E-3</v>
      </c>
      <c r="L24">
        <f>I24+I25</f>
        <v>18</v>
      </c>
      <c r="N24">
        <v>18</v>
      </c>
      <c r="O24">
        <f>_xlfn.XLOOKUP(A24,Formula1_2024season_raceResults!A:A,Formula1_2024season_raceResults!L:L)</f>
        <v>12</v>
      </c>
    </row>
    <row r="25" spans="1:15" x14ac:dyDescent="0.3">
      <c r="A25" t="s">
        <v>59</v>
      </c>
      <c r="B25">
        <v>17</v>
      </c>
      <c r="C25">
        <v>11</v>
      </c>
      <c r="D25" t="s">
        <v>15</v>
      </c>
      <c r="E25" t="s">
        <v>13</v>
      </c>
      <c r="F25">
        <v>20</v>
      </c>
      <c r="G25">
        <v>50</v>
      </c>
      <c r="H25" t="s">
        <v>44</v>
      </c>
      <c r="I25">
        <v>0</v>
      </c>
      <c r="J25" t="s">
        <v>2</v>
      </c>
      <c r="K25" s="1">
        <v>1.0382754629629628E-3</v>
      </c>
      <c r="O25">
        <f>_xlfn.XLOOKUP(A25,Formula1_2024season_raceResults!A:A,Formula1_2024season_raceResults!L:L)</f>
        <v>12</v>
      </c>
    </row>
    <row r="26" spans="1:15" x14ac:dyDescent="0.3">
      <c r="A26" t="s">
        <v>61</v>
      </c>
      <c r="B26">
        <v>5</v>
      </c>
      <c r="C26">
        <v>1</v>
      </c>
      <c r="D26" t="s">
        <v>12</v>
      </c>
      <c r="E26" t="s">
        <v>13</v>
      </c>
      <c r="F26">
        <v>3</v>
      </c>
      <c r="G26">
        <v>70</v>
      </c>
      <c r="H26">
        <v>21.349</v>
      </c>
      <c r="I26">
        <v>10</v>
      </c>
      <c r="J26" t="s">
        <v>2</v>
      </c>
      <c r="K26" s="1">
        <v>9.3643518518518522E-4</v>
      </c>
      <c r="L26">
        <f>I26+I27</f>
        <v>16</v>
      </c>
      <c r="N26">
        <v>16</v>
      </c>
      <c r="O26">
        <f>_xlfn.XLOOKUP(A26,Formula1_2024season_raceResults!A:A,Formula1_2024season_raceResults!L:L)</f>
        <v>13</v>
      </c>
    </row>
    <row r="27" spans="1:15" x14ac:dyDescent="0.3">
      <c r="A27" t="s">
        <v>61</v>
      </c>
      <c r="B27">
        <v>7</v>
      </c>
      <c r="C27">
        <v>11</v>
      </c>
      <c r="D27" t="s">
        <v>15</v>
      </c>
      <c r="E27" t="s">
        <v>13</v>
      </c>
      <c r="F27">
        <v>16</v>
      </c>
      <c r="G27">
        <v>70</v>
      </c>
      <c r="H27">
        <v>39.792000000000002</v>
      </c>
      <c r="I27">
        <v>6</v>
      </c>
      <c r="J27" t="s">
        <v>2</v>
      </c>
      <c r="K27" s="1">
        <v>9.386111111111112E-4</v>
      </c>
      <c r="O27">
        <f>_xlfn.XLOOKUP(A27,Formula1_2024season_raceResults!A:A,Formula1_2024season_raceResults!L:L)</f>
        <v>13</v>
      </c>
    </row>
    <row r="28" spans="1:15" x14ac:dyDescent="0.3">
      <c r="A28" t="s">
        <v>62</v>
      </c>
      <c r="B28">
        <v>4</v>
      </c>
      <c r="C28">
        <v>1</v>
      </c>
      <c r="D28" t="s">
        <v>12</v>
      </c>
      <c r="E28" t="s">
        <v>13</v>
      </c>
      <c r="F28">
        <v>11</v>
      </c>
      <c r="G28">
        <v>44</v>
      </c>
      <c r="H28">
        <v>9.2260000000000009</v>
      </c>
      <c r="I28">
        <v>12</v>
      </c>
      <c r="J28" t="s">
        <v>2</v>
      </c>
      <c r="K28" s="1">
        <v>1.2283333333333332E-3</v>
      </c>
      <c r="L28">
        <f>I28+I29</f>
        <v>19</v>
      </c>
      <c r="N28">
        <v>19</v>
      </c>
      <c r="O28">
        <f>_xlfn.XLOOKUP(A28,Formula1_2024season_raceResults!A:A,Formula1_2024season_raceResults!L:L)</f>
        <v>14</v>
      </c>
    </row>
    <row r="29" spans="1:15" x14ac:dyDescent="0.3">
      <c r="A29" t="s">
        <v>62</v>
      </c>
      <c r="B29">
        <v>7</v>
      </c>
      <c r="C29">
        <v>11</v>
      </c>
      <c r="D29" t="s">
        <v>15</v>
      </c>
      <c r="E29" t="s">
        <v>13</v>
      </c>
      <c r="F29">
        <v>2</v>
      </c>
      <c r="G29">
        <v>44</v>
      </c>
      <c r="H29">
        <v>3.1949999999999998</v>
      </c>
      <c r="I29">
        <v>7</v>
      </c>
      <c r="J29" t="s">
        <v>14</v>
      </c>
      <c r="K29" s="1">
        <v>1.2118171296296295E-3</v>
      </c>
      <c r="O29">
        <f>_xlfn.XLOOKUP(A29,Formula1_2024season_raceResults!A:A,Formula1_2024season_raceResults!L:L)</f>
        <v>14</v>
      </c>
    </row>
    <row r="30" spans="1:15" x14ac:dyDescent="0.3">
      <c r="A30" t="s">
        <v>64</v>
      </c>
      <c r="B30">
        <v>2</v>
      </c>
      <c r="C30">
        <v>1</v>
      </c>
      <c r="D30" t="s">
        <v>12</v>
      </c>
      <c r="E30" t="s">
        <v>13</v>
      </c>
      <c r="F30">
        <v>2</v>
      </c>
      <c r="G30">
        <v>72</v>
      </c>
      <c r="H30">
        <v>22.896000000000001</v>
      </c>
      <c r="I30">
        <v>18</v>
      </c>
      <c r="J30" t="s">
        <v>2</v>
      </c>
      <c r="K30" s="1">
        <v>8.6518518518518509E-4</v>
      </c>
      <c r="L30">
        <f>I30+I31</f>
        <v>26</v>
      </c>
      <c r="N30">
        <v>26</v>
      </c>
      <c r="O30">
        <f>_xlfn.XLOOKUP(A30,Formula1_2024season_raceResults!A:A,Formula1_2024season_raceResults!L:L)</f>
        <v>15</v>
      </c>
    </row>
    <row r="31" spans="1:15" x14ac:dyDescent="0.3">
      <c r="A31" t="s">
        <v>64</v>
      </c>
      <c r="B31">
        <v>6</v>
      </c>
      <c r="C31">
        <v>11</v>
      </c>
      <c r="D31" t="s">
        <v>15</v>
      </c>
      <c r="E31" t="s">
        <v>13</v>
      </c>
      <c r="F31">
        <v>5</v>
      </c>
      <c r="G31">
        <v>72</v>
      </c>
      <c r="H31">
        <v>39.542000000000002</v>
      </c>
      <c r="I31">
        <v>8</v>
      </c>
      <c r="J31" t="s">
        <v>2</v>
      </c>
      <c r="K31" s="1">
        <v>8.6327546296296304E-4</v>
      </c>
      <c r="O31">
        <f>_xlfn.XLOOKUP(A31,Formula1_2024season_raceResults!A:A,Formula1_2024season_raceResults!L:L)</f>
        <v>15</v>
      </c>
    </row>
    <row r="32" spans="1:15" x14ac:dyDescent="0.3">
      <c r="A32" t="s">
        <v>65</v>
      </c>
      <c r="B32">
        <v>6</v>
      </c>
      <c r="C32">
        <v>1</v>
      </c>
      <c r="D32" t="s">
        <v>12</v>
      </c>
      <c r="E32" t="s">
        <v>13</v>
      </c>
      <c r="F32">
        <v>7</v>
      </c>
      <c r="G32">
        <v>53</v>
      </c>
      <c r="H32">
        <v>37.932000000000002</v>
      </c>
      <c r="I32">
        <v>8</v>
      </c>
      <c r="J32" t="s">
        <v>2</v>
      </c>
      <c r="K32" s="1">
        <v>9.4612268518518526E-4</v>
      </c>
      <c r="L32">
        <f>I32+I33</f>
        <v>12</v>
      </c>
      <c r="N32">
        <v>12</v>
      </c>
      <c r="O32">
        <f>_xlfn.XLOOKUP(A32,Formula1_2024season_raceResults!A:A,Formula1_2024season_raceResults!L:L)</f>
        <v>16</v>
      </c>
    </row>
    <row r="33" spans="1:15" x14ac:dyDescent="0.3">
      <c r="A33" t="s">
        <v>65</v>
      </c>
      <c r="B33">
        <v>8</v>
      </c>
      <c r="C33">
        <v>11</v>
      </c>
      <c r="D33" t="s">
        <v>15</v>
      </c>
      <c r="E33" t="s">
        <v>13</v>
      </c>
      <c r="F33">
        <v>8</v>
      </c>
      <c r="G33">
        <v>53</v>
      </c>
      <c r="H33">
        <v>54.148000000000003</v>
      </c>
      <c r="I33">
        <v>4</v>
      </c>
      <c r="J33" t="s">
        <v>2</v>
      </c>
      <c r="K33" s="1">
        <v>9.6031250000000001E-4</v>
      </c>
      <c r="O33">
        <f>_xlfn.XLOOKUP(A33,Formula1_2024season_raceResults!A:A,Formula1_2024season_raceResults!L:L)</f>
        <v>16</v>
      </c>
    </row>
    <row r="34" spans="1:15" x14ac:dyDescent="0.3">
      <c r="A34" t="s">
        <v>67</v>
      </c>
      <c r="B34">
        <v>5</v>
      </c>
      <c r="C34">
        <v>1</v>
      </c>
      <c r="D34" t="s">
        <v>12</v>
      </c>
      <c r="E34" t="s">
        <v>13</v>
      </c>
      <c r="F34">
        <v>6</v>
      </c>
      <c r="G34">
        <v>51</v>
      </c>
      <c r="H34">
        <v>77.097999999999999</v>
      </c>
      <c r="I34">
        <v>10</v>
      </c>
      <c r="J34" t="s">
        <v>2</v>
      </c>
      <c r="K34" s="1">
        <v>1.2360879629629629E-3</v>
      </c>
      <c r="L34">
        <f>I34+I35</f>
        <v>10</v>
      </c>
      <c r="N34">
        <v>10</v>
      </c>
      <c r="O34">
        <f>_xlfn.XLOOKUP(A34,Formula1_2024season_raceResults!A:A,Formula1_2024season_raceResults!L:L)</f>
        <v>17</v>
      </c>
    </row>
    <row r="35" spans="1:15" x14ac:dyDescent="0.3">
      <c r="A35" t="s">
        <v>67</v>
      </c>
      <c r="B35">
        <v>17</v>
      </c>
      <c r="C35">
        <v>11</v>
      </c>
      <c r="D35" t="s">
        <v>15</v>
      </c>
      <c r="E35" t="s">
        <v>13</v>
      </c>
      <c r="F35">
        <v>4</v>
      </c>
      <c r="G35">
        <v>49</v>
      </c>
      <c r="H35" t="s">
        <v>48</v>
      </c>
      <c r="I35">
        <v>0</v>
      </c>
      <c r="J35" t="s">
        <v>2</v>
      </c>
      <c r="K35" s="1">
        <v>1.2385763888888889E-3</v>
      </c>
      <c r="O35">
        <f>_xlfn.XLOOKUP(A35,Formula1_2024season_raceResults!A:A,Formula1_2024season_raceResults!L:L)</f>
        <v>17</v>
      </c>
    </row>
    <row r="36" spans="1:15" x14ac:dyDescent="0.3">
      <c r="A36" t="s">
        <v>68</v>
      </c>
      <c r="B36">
        <v>2</v>
      </c>
      <c r="C36">
        <v>1</v>
      </c>
      <c r="D36" t="s">
        <v>12</v>
      </c>
      <c r="E36" t="s">
        <v>13</v>
      </c>
      <c r="F36">
        <v>2</v>
      </c>
      <c r="G36">
        <v>62</v>
      </c>
      <c r="H36">
        <v>20.945</v>
      </c>
      <c r="I36">
        <v>18</v>
      </c>
      <c r="J36" t="s">
        <v>2</v>
      </c>
      <c r="K36" s="1">
        <v>1.1107291666666665E-3</v>
      </c>
      <c r="L36">
        <f>I36+I37</f>
        <v>19</v>
      </c>
      <c r="N36">
        <v>19</v>
      </c>
      <c r="O36">
        <f>_xlfn.XLOOKUP(A36,Formula1_2024season_raceResults!A:A,Formula1_2024season_raceResults!L:L)</f>
        <v>18</v>
      </c>
    </row>
    <row r="37" spans="1:15" x14ac:dyDescent="0.3">
      <c r="A37" t="s">
        <v>68</v>
      </c>
      <c r="B37">
        <v>10</v>
      </c>
      <c r="C37">
        <v>11</v>
      </c>
      <c r="D37" t="s">
        <v>15</v>
      </c>
      <c r="E37" t="s">
        <v>13</v>
      </c>
      <c r="F37">
        <v>13</v>
      </c>
      <c r="G37">
        <v>61</v>
      </c>
      <c r="H37" t="s">
        <v>30</v>
      </c>
      <c r="I37">
        <v>1</v>
      </c>
      <c r="J37" t="s">
        <v>2</v>
      </c>
      <c r="K37" s="1">
        <v>1.1282060185185186E-3</v>
      </c>
      <c r="O37">
        <f>_xlfn.XLOOKUP(A37,Formula1_2024season_raceResults!A:A,Formula1_2024season_raceResults!L:L)</f>
        <v>18</v>
      </c>
    </row>
    <row r="38" spans="1:15" x14ac:dyDescent="0.3">
      <c r="A38" t="s">
        <v>69</v>
      </c>
      <c r="B38">
        <v>3</v>
      </c>
      <c r="C38">
        <v>1</v>
      </c>
      <c r="D38" t="s">
        <v>12</v>
      </c>
      <c r="E38" t="s">
        <v>13</v>
      </c>
      <c r="F38">
        <v>2</v>
      </c>
      <c r="G38">
        <v>56</v>
      </c>
      <c r="H38">
        <v>19.411999999999999</v>
      </c>
      <c r="I38">
        <v>15</v>
      </c>
      <c r="J38" t="s">
        <v>2</v>
      </c>
      <c r="K38" s="1">
        <v>1.1356134259259258E-3</v>
      </c>
      <c r="L38">
        <f>I38+I39</f>
        <v>21</v>
      </c>
      <c r="N38">
        <v>21</v>
      </c>
      <c r="O38">
        <f>_xlfn.XLOOKUP(A38,Formula1_2024season_raceResults!A:A,Formula1_2024season_raceResults!L:L)</f>
        <v>19</v>
      </c>
    </row>
    <row r="39" spans="1:15" x14ac:dyDescent="0.3">
      <c r="A39" t="s">
        <v>69</v>
      </c>
      <c r="B39">
        <v>7</v>
      </c>
      <c r="C39">
        <v>11</v>
      </c>
      <c r="D39" t="s">
        <v>15</v>
      </c>
      <c r="E39" t="s">
        <v>13</v>
      </c>
      <c r="F39">
        <v>9</v>
      </c>
      <c r="G39">
        <v>56</v>
      </c>
      <c r="H39">
        <v>59.072000000000003</v>
      </c>
      <c r="I39">
        <v>6</v>
      </c>
      <c r="J39" t="s">
        <v>2</v>
      </c>
      <c r="K39" s="1">
        <v>1.1402083333333334E-3</v>
      </c>
      <c r="O39">
        <f>_xlfn.XLOOKUP(A39,Formula1_2024season_raceResults!A:A,Formula1_2024season_raceResults!L:L)</f>
        <v>19</v>
      </c>
    </row>
    <row r="40" spans="1:15" x14ac:dyDescent="0.3">
      <c r="A40" t="s">
        <v>71</v>
      </c>
      <c r="B40">
        <v>6</v>
      </c>
      <c r="C40">
        <v>1</v>
      </c>
      <c r="D40" t="s">
        <v>12</v>
      </c>
      <c r="E40" t="s">
        <v>13</v>
      </c>
      <c r="F40">
        <v>2</v>
      </c>
      <c r="G40">
        <v>71</v>
      </c>
      <c r="H40">
        <v>59.558</v>
      </c>
      <c r="I40">
        <v>8</v>
      </c>
      <c r="J40" t="s">
        <v>2</v>
      </c>
      <c r="K40" s="1">
        <v>9.3601851851851854E-4</v>
      </c>
      <c r="L40">
        <f>I40+I41</f>
        <v>8</v>
      </c>
      <c r="N40">
        <v>8</v>
      </c>
      <c r="O40">
        <f>_xlfn.XLOOKUP(A40,Formula1_2024season_raceResults!A:A,Formula1_2024season_raceResults!L:L)</f>
        <v>20</v>
      </c>
    </row>
    <row r="41" spans="1:15" x14ac:dyDescent="0.3">
      <c r="A41" t="s">
        <v>71</v>
      </c>
      <c r="B41">
        <v>17</v>
      </c>
      <c r="C41">
        <v>11</v>
      </c>
      <c r="D41" t="s">
        <v>15</v>
      </c>
      <c r="E41" t="s">
        <v>13</v>
      </c>
      <c r="F41">
        <v>18</v>
      </c>
      <c r="G41">
        <v>70</v>
      </c>
      <c r="H41" t="s">
        <v>30</v>
      </c>
      <c r="I41">
        <v>0</v>
      </c>
      <c r="J41" t="s">
        <v>2</v>
      </c>
      <c r="K41" s="1">
        <v>9.1677083333333335E-4</v>
      </c>
      <c r="O41">
        <f>_xlfn.XLOOKUP(A41,Formula1_2024season_raceResults!A:A,Formula1_2024season_raceResults!L:L)</f>
        <v>20</v>
      </c>
    </row>
    <row r="42" spans="1:15" x14ac:dyDescent="0.3">
      <c r="A42" t="s">
        <v>72</v>
      </c>
      <c r="B42">
        <v>1</v>
      </c>
      <c r="C42">
        <v>1</v>
      </c>
      <c r="D42" t="s">
        <v>12</v>
      </c>
      <c r="E42" t="s">
        <v>13</v>
      </c>
      <c r="F42">
        <v>17</v>
      </c>
      <c r="G42">
        <v>69</v>
      </c>
      <c r="H42" s="1">
        <v>8.8129976851851852E-2</v>
      </c>
      <c r="I42">
        <v>26</v>
      </c>
      <c r="J42" t="s">
        <v>14</v>
      </c>
      <c r="K42" s="1">
        <v>9.3138888888888893E-4</v>
      </c>
      <c r="L42">
        <f>I42+I43</f>
        <v>26</v>
      </c>
      <c r="N42">
        <v>26</v>
      </c>
      <c r="O42">
        <f>_xlfn.XLOOKUP(A42,Formula1_2024season_raceResults!A:A,Formula1_2024season_raceResults!L:L)</f>
        <v>21</v>
      </c>
    </row>
    <row r="43" spans="1:15" x14ac:dyDescent="0.3">
      <c r="A43" t="s">
        <v>72</v>
      </c>
      <c r="B43">
        <v>11</v>
      </c>
      <c r="C43">
        <v>11</v>
      </c>
      <c r="D43" t="s">
        <v>15</v>
      </c>
      <c r="E43" t="s">
        <v>13</v>
      </c>
      <c r="F43">
        <v>12</v>
      </c>
      <c r="G43">
        <v>69</v>
      </c>
      <c r="H43">
        <v>51.530999999999999</v>
      </c>
      <c r="I43">
        <v>0</v>
      </c>
      <c r="J43" t="s">
        <v>2</v>
      </c>
      <c r="K43" s="1">
        <v>9.5072916666666667E-4</v>
      </c>
      <c r="O43">
        <f>_xlfn.XLOOKUP(A43,Formula1_2024season_raceResults!A:A,Formula1_2024season_raceResults!L:L)</f>
        <v>21</v>
      </c>
    </row>
    <row r="44" spans="1:15" x14ac:dyDescent="0.3">
      <c r="A44" t="s">
        <v>74</v>
      </c>
      <c r="B44">
        <v>5</v>
      </c>
      <c r="C44">
        <v>1</v>
      </c>
      <c r="D44" t="s">
        <v>12</v>
      </c>
      <c r="E44" t="s">
        <v>13</v>
      </c>
      <c r="F44">
        <v>5</v>
      </c>
      <c r="G44">
        <v>50</v>
      </c>
      <c r="H44">
        <v>16.582000000000001</v>
      </c>
      <c r="I44">
        <v>10</v>
      </c>
      <c r="J44" t="s">
        <v>2</v>
      </c>
      <c r="K44" s="1">
        <v>1.1139814814814814E-3</v>
      </c>
      <c r="L44">
        <f>I44+I45</f>
        <v>11</v>
      </c>
      <c r="N44">
        <v>11</v>
      </c>
      <c r="O44">
        <f>_xlfn.XLOOKUP(A44,Formula1_2024season_raceResults!A:A,Formula1_2024season_raceResults!L:L)</f>
        <v>22</v>
      </c>
    </row>
    <row r="45" spans="1:15" x14ac:dyDescent="0.3">
      <c r="A45" t="s">
        <v>74</v>
      </c>
      <c r="B45">
        <v>10</v>
      </c>
      <c r="C45">
        <v>11</v>
      </c>
      <c r="D45" t="s">
        <v>15</v>
      </c>
      <c r="E45" t="s">
        <v>13</v>
      </c>
      <c r="F45">
        <v>15</v>
      </c>
      <c r="G45">
        <v>50</v>
      </c>
      <c r="H45">
        <v>63.113999999999997</v>
      </c>
      <c r="I45">
        <v>1</v>
      </c>
      <c r="J45" t="s">
        <v>2</v>
      </c>
      <c r="K45" s="1">
        <v>1.1148842592592593E-3</v>
      </c>
      <c r="O45">
        <f>_xlfn.XLOOKUP(A45,Formula1_2024season_raceResults!A:A,Formula1_2024season_raceResults!L:L)</f>
        <v>22</v>
      </c>
    </row>
    <row r="46" spans="1:15" x14ac:dyDescent="0.3">
      <c r="A46" t="s">
        <v>75</v>
      </c>
      <c r="B46">
        <v>1</v>
      </c>
      <c r="C46">
        <v>1</v>
      </c>
      <c r="D46" t="s">
        <v>12</v>
      </c>
      <c r="E46" t="s">
        <v>13</v>
      </c>
      <c r="F46">
        <v>2</v>
      </c>
      <c r="G46">
        <v>57</v>
      </c>
      <c r="H46" s="1">
        <v>6.3256053240740739E-2</v>
      </c>
      <c r="I46">
        <v>25</v>
      </c>
      <c r="J46" t="s">
        <v>2</v>
      </c>
      <c r="K46" s="1">
        <v>9.5954861111111111E-4</v>
      </c>
      <c r="L46">
        <f>I46+I47</f>
        <v>25</v>
      </c>
      <c r="N46">
        <v>25</v>
      </c>
      <c r="O46">
        <f>_xlfn.XLOOKUP(A46,Formula1_2024season_raceResults!A:A,Formula1_2024season_raceResults!L:L)</f>
        <v>23</v>
      </c>
    </row>
    <row r="47" spans="1:15" x14ac:dyDescent="0.3">
      <c r="A47" t="s">
        <v>75</v>
      </c>
      <c r="C47">
        <v>11</v>
      </c>
      <c r="D47" t="s">
        <v>15</v>
      </c>
      <c r="E47" t="s">
        <v>13</v>
      </c>
      <c r="F47">
        <v>9</v>
      </c>
      <c r="G47">
        <v>38</v>
      </c>
      <c r="H47" t="s">
        <v>48</v>
      </c>
      <c r="I47">
        <v>0</v>
      </c>
      <c r="J47" t="s">
        <v>2</v>
      </c>
      <c r="K47" s="1">
        <v>9.8712962962962968E-4</v>
      </c>
      <c r="O47">
        <f>_xlfn.XLOOKUP(A47,Formula1_2024season_raceResults!A:A,Formula1_2024season_raceResults!L:L)</f>
        <v>23</v>
      </c>
    </row>
    <row r="48" spans="1:15" x14ac:dyDescent="0.3">
      <c r="A48" t="s">
        <v>76</v>
      </c>
      <c r="B48">
        <v>6</v>
      </c>
      <c r="C48">
        <v>1</v>
      </c>
      <c r="D48" t="s">
        <v>12</v>
      </c>
      <c r="E48" t="s">
        <v>13</v>
      </c>
      <c r="F48">
        <v>4</v>
      </c>
      <c r="G48">
        <v>58</v>
      </c>
      <c r="H48">
        <v>49.847000000000001</v>
      </c>
      <c r="I48">
        <v>8</v>
      </c>
      <c r="J48" t="s">
        <v>2</v>
      </c>
      <c r="K48" s="1">
        <v>1.0157986111111112E-3</v>
      </c>
      <c r="L48">
        <f>I48+I49</f>
        <v>8</v>
      </c>
      <c r="N48">
        <v>8</v>
      </c>
      <c r="O48">
        <f>_xlfn.XLOOKUP(A48,Formula1_2024season_raceResults!A:A,Formula1_2024season_raceResults!L:L)</f>
        <v>24</v>
      </c>
    </row>
    <row r="49" spans="1:15" x14ac:dyDescent="0.3">
      <c r="A49" t="s">
        <v>76</v>
      </c>
      <c r="C49">
        <v>11</v>
      </c>
      <c r="D49" t="s">
        <v>15</v>
      </c>
      <c r="E49" t="s">
        <v>13</v>
      </c>
      <c r="F49">
        <v>10</v>
      </c>
      <c r="G49">
        <v>0</v>
      </c>
      <c r="H49" t="s">
        <v>48</v>
      </c>
      <c r="I49">
        <v>0</v>
      </c>
      <c r="J49" t="s">
        <v>2</v>
      </c>
      <c r="O49">
        <f>_xlfn.XLOOKUP(A49,Formula1_2024season_raceResults!A:A,Formula1_2024season_raceResults!L:L)</f>
        <v>24</v>
      </c>
    </row>
  </sheetData>
  <autoFilter ref="N1:N49" xr:uid="{231AC48A-DF2F-4AE4-9661-7BC5997CD34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3A85-883A-4C10-B0ED-C48BD2111014}">
  <dimension ref="A1:K25"/>
  <sheetViews>
    <sheetView workbookViewId="0">
      <selection activeCell="P10" sqref="P10"/>
    </sheetView>
  </sheetViews>
  <sheetFormatPr defaultRowHeight="14.4" x14ac:dyDescent="0.3"/>
  <cols>
    <col min="1" max="1" width="15.5546875" style="2" bestFit="1" customWidth="1"/>
    <col min="4" max="4" width="11.5546875" bestFit="1" customWidth="1"/>
    <col min="5" max="5" width="26.33203125" bestFit="1" customWidth="1"/>
    <col min="6" max="6" width="11.88671875" bestFit="1" customWidth="1"/>
    <col min="8" max="8" width="12.109375" style="3" bestFit="1" customWidth="1"/>
  </cols>
  <sheetData>
    <row r="1" spans="1:11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11</v>
      </c>
      <c r="B2">
        <v>2</v>
      </c>
      <c r="C2">
        <v>11</v>
      </c>
      <c r="D2" t="s">
        <v>15</v>
      </c>
      <c r="E2" t="s">
        <v>13</v>
      </c>
      <c r="F2">
        <v>5</v>
      </c>
      <c r="G2">
        <v>57</v>
      </c>
      <c r="H2" s="3">
        <v>22.457000000000001</v>
      </c>
      <c r="I2">
        <v>18</v>
      </c>
      <c r="J2" t="s">
        <v>2</v>
      </c>
      <c r="K2" s="1">
        <v>1.0921759259259259E-3</v>
      </c>
    </row>
    <row r="3" spans="1:11" x14ac:dyDescent="0.3">
      <c r="A3" s="2" t="s">
        <v>45</v>
      </c>
      <c r="B3">
        <v>2</v>
      </c>
      <c r="C3">
        <v>11</v>
      </c>
      <c r="D3" t="s">
        <v>15</v>
      </c>
      <c r="E3" t="s">
        <v>13</v>
      </c>
      <c r="F3">
        <v>3</v>
      </c>
      <c r="G3">
        <v>50</v>
      </c>
      <c r="H3" s="3">
        <v>13.643000000000001</v>
      </c>
      <c r="I3">
        <v>18</v>
      </c>
      <c r="J3" t="s">
        <v>2</v>
      </c>
      <c r="K3" s="1">
        <v>1.067974537037037E-3</v>
      </c>
    </row>
    <row r="4" spans="1:11" x14ac:dyDescent="0.3">
      <c r="A4" s="2" t="s">
        <v>49</v>
      </c>
      <c r="B4">
        <v>5</v>
      </c>
      <c r="C4">
        <v>11</v>
      </c>
      <c r="D4" t="s">
        <v>15</v>
      </c>
      <c r="E4" t="s">
        <v>13</v>
      </c>
      <c r="F4">
        <v>6</v>
      </c>
      <c r="G4">
        <v>58</v>
      </c>
      <c r="H4" s="3">
        <v>56.308999999999997</v>
      </c>
      <c r="I4">
        <v>10</v>
      </c>
      <c r="J4" t="s">
        <v>2</v>
      </c>
      <c r="K4" s="1">
        <v>9.3041666666666674E-4</v>
      </c>
    </row>
    <row r="5" spans="1:11" x14ac:dyDescent="0.3">
      <c r="A5" s="2" t="s">
        <v>50</v>
      </c>
      <c r="B5">
        <v>2</v>
      </c>
      <c r="C5">
        <v>11</v>
      </c>
      <c r="D5" t="s">
        <v>15</v>
      </c>
      <c r="E5" t="s">
        <v>13</v>
      </c>
      <c r="F5">
        <v>2</v>
      </c>
      <c r="G5">
        <v>53</v>
      </c>
      <c r="H5" s="3">
        <v>12.535</v>
      </c>
      <c r="I5">
        <v>18</v>
      </c>
      <c r="J5" t="s">
        <v>2</v>
      </c>
      <c r="K5" s="1">
        <v>1.0873263888888888E-3</v>
      </c>
    </row>
    <row r="6" spans="1:11" x14ac:dyDescent="0.3">
      <c r="A6" s="2" t="s">
        <v>51</v>
      </c>
      <c r="B6">
        <v>3</v>
      </c>
      <c r="C6">
        <v>11</v>
      </c>
      <c r="D6" t="s">
        <v>15</v>
      </c>
      <c r="E6" t="s">
        <v>13</v>
      </c>
      <c r="F6">
        <v>2</v>
      </c>
      <c r="G6">
        <v>56</v>
      </c>
      <c r="H6" s="3">
        <v>19.16</v>
      </c>
      <c r="I6">
        <v>15</v>
      </c>
      <c r="J6" t="s">
        <v>2</v>
      </c>
      <c r="K6" s="1">
        <v>1.1503240740740742E-3</v>
      </c>
    </row>
    <row r="7" spans="1:11" x14ac:dyDescent="0.3">
      <c r="A7" s="2" t="s">
        <v>52</v>
      </c>
      <c r="B7">
        <v>4</v>
      </c>
      <c r="C7">
        <v>11</v>
      </c>
      <c r="D7" t="s">
        <v>15</v>
      </c>
      <c r="E7" t="s">
        <v>13</v>
      </c>
      <c r="F7">
        <v>4</v>
      </c>
      <c r="G7">
        <v>57</v>
      </c>
      <c r="H7" s="3">
        <v>14.65</v>
      </c>
      <c r="I7">
        <v>12</v>
      </c>
      <c r="J7" t="s">
        <v>2</v>
      </c>
      <c r="K7" s="1">
        <v>1.0515625E-3</v>
      </c>
    </row>
    <row r="8" spans="1:11" x14ac:dyDescent="0.3">
      <c r="A8" s="2" t="s">
        <v>53</v>
      </c>
      <c r="B8">
        <v>8</v>
      </c>
      <c r="C8">
        <v>11</v>
      </c>
      <c r="D8" t="s">
        <v>15</v>
      </c>
      <c r="E8" t="s">
        <v>13</v>
      </c>
      <c r="F8">
        <v>11</v>
      </c>
      <c r="G8">
        <v>63</v>
      </c>
      <c r="H8" s="3">
        <v>54.776000000000003</v>
      </c>
      <c r="I8">
        <v>4</v>
      </c>
      <c r="J8" t="s">
        <v>2</v>
      </c>
      <c r="K8" s="1">
        <v>9.2229166666666675E-4</v>
      </c>
    </row>
    <row r="9" spans="1:11" x14ac:dyDescent="0.3">
      <c r="A9" s="2" t="s">
        <v>54</v>
      </c>
      <c r="B9" t="s">
        <v>47</v>
      </c>
      <c r="C9">
        <v>11</v>
      </c>
      <c r="D9" t="s">
        <v>15</v>
      </c>
      <c r="E9" t="s">
        <v>13</v>
      </c>
      <c r="F9">
        <v>16</v>
      </c>
      <c r="G9">
        <v>0</v>
      </c>
      <c r="H9" s="2" t="s">
        <v>48</v>
      </c>
      <c r="I9">
        <v>0</v>
      </c>
      <c r="J9" t="s">
        <v>2</v>
      </c>
    </row>
    <row r="10" spans="1:11" x14ac:dyDescent="0.3">
      <c r="A10" s="2" t="s">
        <v>55</v>
      </c>
      <c r="B10" t="s">
        <v>47</v>
      </c>
      <c r="C10">
        <v>11</v>
      </c>
      <c r="D10" t="s">
        <v>15</v>
      </c>
      <c r="E10" t="s">
        <v>13</v>
      </c>
      <c r="F10">
        <v>16</v>
      </c>
      <c r="G10">
        <v>51</v>
      </c>
      <c r="H10" s="2" t="s">
        <v>48</v>
      </c>
      <c r="I10">
        <v>0</v>
      </c>
      <c r="J10" t="s">
        <v>2</v>
      </c>
      <c r="K10" s="1">
        <v>9.1225694444444449E-4</v>
      </c>
    </row>
    <row r="11" spans="1:11" x14ac:dyDescent="0.3">
      <c r="A11" s="2" t="s">
        <v>56</v>
      </c>
      <c r="B11">
        <v>8</v>
      </c>
      <c r="C11">
        <v>11</v>
      </c>
      <c r="D11" t="s">
        <v>15</v>
      </c>
      <c r="E11" t="s">
        <v>13</v>
      </c>
      <c r="F11">
        <v>11</v>
      </c>
      <c r="G11">
        <v>66</v>
      </c>
      <c r="H11" s="3">
        <v>59.524000000000001</v>
      </c>
      <c r="I11">
        <v>4</v>
      </c>
      <c r="J11" t="s">
        <v>2</v>
      </c>
      <c r="K11" s="1">
        <v>9.0028935185185177E-4</v>
      </c>
    </row>
    <row r="12" spans="1:11" x14ac:dyDescent="0.3">
      <c r="A12" s="2" t="s">
        <v>57</v>
      </c>
      <c r="B12">
        <v>7</v>
      </c>
      <c r="C12">
        <v>11</v>
      </c>
      <c r="D12" t="s">
        <v>15</v>
      </c>
      <c r="E12" t="s">
        <v>13</v>
      </c>
      <c r="F12">
        <v>8</v>
      </c>
      <c r="G12">
        <v>71</v>
      </c>
      <c r="H12" s="3">
        <v>54.671999999999997</v>
      </c>
      <c r="I12">
        <v>6</v>
      </c>
      <c r="J12" t="s">
        <v>2</v>
      </c>
      <c r="K12" s="1">
        <v>8.0664351851851849E-4</v>
      </c>
    </row>
    <row r="13" spans="1:11" x14ac:dyDescent="0.3">
      <c r="A13" s="2" t="s">
        <v>59</v>
      </c>
      <c r="B13">
        <v>17</v>
      </c>
      <c r="C13">
        <v>11</v>
      </c>
      <c r="D13" t="s">
        <v>15</v>
      </c>
      <c r="E13" t="s">
        <v>13</v>
      </c>
      <c r="F13">
        <v>20</v>
      </c>
      <c r="G13">
        <v>50</v>
      </c>
      <c r="H13" s="3" t="s">
        <v>44</v>
      </c>
      <c r="I13">
        <v>0</v>
      </c>
      <c r="J13" t="s">
        <v>2</v>
      </c>
      <c r="K13" s="1">
        <v>1.0382754629629628E-3</v>
      </c>
    </row>
    <row r="14" spans="1:11" x14ac:dyDescent="0.3">
      <c r="A14" s="2" t="s">
        <v>61</v>
      </c>
      <c r="B14">
        <v>7</v>
      </c>
      <c r="C14">
        <v>11</v>
      </c>
      <c r="D14" t="s">
        <v>15</v>
      </c>
      <c r="E14" t="s">
        <v>13</v>
      </c>
      <c r="F14">
        <v>16</v>
      </c>
      <c r="G14">
        <v>70</v>
      </c>
      <c r="H14" s="3">
        <v>39.792000000000002</v>
      </c>
      <c r="I14">
        <v>6</v>
      </c>
      <c r="J14" t="s">
        <v>2</v>
      </c>
      <c r="K14" s="1">
        <v>9.386111111111112E-4</v>
      </c>
    </row>
    <row r="15" spans="1:11" x14ac:dyDescent="0.3">
      <c r="A15" s="2" t="s">
        <v>62</v>
      </c>
      <c r="B15">
        <v>7</v>
      </c>
      <c r="C15">
        <v>11</v>
      </c>
      <c r="D15" t="s">
        <v>15</v>
      </c>
      <c r="E15" t="s">
        <v>13</v>
      </c>
      <c r="F15">
        <v>2</v>
      </c>
      <c r="G15">
        <v>44</v>
      </c>
      <c r="H15" s="3">
        <v>3.1949999999999998</v>
      </c>
      <c r="I15">
        <v>7</v>
      </c>
      <c r="J15" t="s">
        <v>14</v>
      </c>
      <c r="K15" s="1">
        <v>1.2118171296296295E-3</v>
      </c>
    </row>
    <row r="16" spans="1:11" x14ac:dyDescent="0.3">
      <c r="A16" s="2" t="s">
        <v>64</v>
      </c>
      <c r="B16">
        <v>6</v>
      </c>
      <c r="C16">
        <v>11</v>
      </c>
      <c r="D16" t="s">
        <v>15</v>
      </c>
      <c r="E16" t="s">
        <v>13</v>
      </c>
      <c r="F16">
        <v>5</v>
      </c>
      <c r="G16">
        <v>72</v>
      </c>
      <c r="H16" s="3">
        <v>39.542000000000002</v>
      </c>
      <c r="I16">
        <v>8</v>
      </c>
      <c r="J16" t="s">
        <v>2</v>
      </c>
      <c r="K16" s="1">
        <v>8.6327546296296304E-4</v>
      </c>
    </row>
    <row r="17" spans="1:11" x14ac:dyDescent="0.3">
      <c r="A17" s="2" t="s">
        <v>65</v>
      </c>
      <c r="B17">
        <v>8</v>
      </c>
      <c r="C17">
        <v>11</v>
      </c>
      <c r="D17" t="s">
        <v>15</v>
      </c>
      <c r="E17" t="s">
        <v>13</v>
      </c>
      <c r="F17">
        <v>8</v>
      </c>
      <c r="G17">
        <v>53</v>
      </c>
      <c r="H17" s="3">
        <v>54.148000000000003</v>
      </c>
      <c r="I17">
        <v>4</v>
      </c>
      <c r="J17" t="s">
        <v>2</v>
      </c>
      <c r="K17" s="1">
        <v>9.6031250000000001E-4</v>
      </c>
    </row>
    <row r="18" spans="1:11" x14ac:dyDescent="0.3">
      <c r="A18" s="2" t="s">
        <v>67</v>
      </c>
      <c r="B18">
        <v>17</v>
      </c>
      <c r="C18">
        <v>11</v>
      </c>
      <c r="D18" t="s">
        <v>15</v>
      </c>
      <c r="E18" t="s">
        <v>13</v>
      </c>
      <c r="F18">
        <v>4</v>
      </c>
      <c r="G18">
        <v>49</v>
      </c>
      <c r="H18" s="2" t="s">
        <v>48</v>
      </c>
      <c r="I18">
        <v>0</v>
      </c>
      <c r="J18" t="s">
        <v>2</v>
      </c>
      <c r="K18" s="1">
        <v>1.2385763888888889E-3</v>
      </c>
    </row>
    <row r="19" spans="1:11" x14ac:dyDescent="0.3">
      <c r="A19" s="2" t="s">
        <v>68</v>
      </c>
      <c r="B19">
        <v>10</v>
      </c>
      <c r="C19">
        <v>11</v>
      </c>
      <c r="D19" t="s">
        <v>15</v>
      </c>
      <c r="E19" t="s">
        <v>13</v>
      </c>
      <c r="F19">
        <v>13</v>
      </c>
      <c r="G19">
        <v>61</v>
      </c>
      <c r="H19" s="3" t="s">
        <v>30</v>
      </c>
      <c r="I19">
        <v>1</v>
      </c>
      <c r="J19" t="s">
        <v>2</v>
      </c>
      <c r="K19" s="1">
        <v>1.1282060185185186E-3</v>
      </c>
    </row>
    <row r="20" spans="1:11" x14ac:dyDescent="0.3">
      <c r="A20" s="2" t="s">
        <v>69</v>
      </c>
      <c r="B20">
        <v>7</v>
      </c>
      <c r="C20">
        <v>11</v>
      </c>
      <c r="D20" t="s">
        <v>15</v>
      </c>
      <c r="E20" t="s">
        <v>13</v>
      </c>
      <c r="F20">
        <v>9</v>
      </c>
      <c r="G20">
        <v>56</v>
      </c>
      <c r="H20" s="3">
        <v>59.072000000000003</v>
      </c>
      <c r="I20">
        <v>6</v>
      </c>
      <c r="J20" t="s">
        <v>2</v>
      </c>
      <c r="K20" s="1">
        <v>1.1402083333333334E-3</v>
      </c>
    </row>
    <row r="21" spans="1:11" x14ac:dyDescent="0.3">
      <c r="A21" s="2" t="s">
        <v>71</v>
      </c>
      <c r="B21">
        <v>17</v>
      </c>
      <c r="C21">
        <v>11</v>
      </c>
      <c r="D21" t="s">
        <v>15</v>
      </c>
      <c r="E21" t="s">
        <v>13</v>
      </c>
      <c r="F21">
        <v>18</v>
      </c>
      <c r="G21">
        <v>70</v>
      </c>
      <c r="H21" s="3" t="s">
        <v>30</v>
      </c>
      <c r="I21">
        <v>0</v>
      </c>
      <c r="J21" t="s">
        <v>2</v>
      </c>
      <c r="K21" s="1">
        <v>9.1677083333333335E-4</v>
      </c>
    </row>
    <row r="22" spans="1:11" x14ac:dyDescent="0.3">
      <c r="A22" s="2" t="s">
        <v>72</v>
      </c>
      <c r="B22">
        <v>11</v>
      </c>
      <c r="C22">
        <v>11</v>
      </c>
      <c r="D22" t="s">
        <v>15</v>
      </c>
      <c r="E22" t="s">
        <v>13</v>
      </c>
      <c r="F22">
        <v>12</v>
      </c>
      <c r="G22">
        <v>69</v>
      </c>
      <c r="H22" s="3">
        <v>51.530999999999999</v>
      </c>
      <c r="I22">
        <v>0</v>
      </c>
      <c r="J22" t="s">
        <v>2</v>
      </c>
      <c r="K22" s="1">
        <v>9.5072916666666667E-4</v>
      </c>
    </row>
    <row r="23" spans="1:11" x14ac:dyDescent="0.3">
      <c r="A23" s="2" t="s">
        <v>74</v>
      </c>
      <c r="B23">
        <v>10</v>
      </c>
      <c r="C23">
        <v>11</v>
      </c>
      <c r="D23" t="s">
        <v>15</v>
      </c>
      <c r="E23" t="s">
        <v>13</v>
      </c>
      <c r="F23">
        <v>15</v>
      </c>
      <c r="G23">
        <v>50</v>
      </c>
      <c r="H23" s="3">
        <v>63.113999999999997</v>
      </c>
      <c r="I23">
        <v>1</v>
      </c>
      <c r="J23" t="s">
        <v>2</v>
      </c>
      <c r="K23" s="1">
        <v>1.1148842592592593E-3</v>
      </c>
    </row>
    <row r="24" spans="1:11" x14ac:dyDescent="0.3">
      <c r="A24" s="2" t="s">
        <v>75</v>
      </c>
      <c r="B24" t="s">
        <v>47</v>
      </c>
      <c r="C24">
        <v>11</v>
      </c>
      <c r="D24" t="s">
        <v>15</v>
      </c>
      <c r="E24" t="s">
        <v>13</v>
      </c>
      <c r="F24">
        <v>9</v>
      </c>
      <c r="G24">
        <v>38</v>
      </c>
      <c r="H24" s="2" t="s">
        <v>48</v>
      </c>
      <c r="I24">
        <v>0</v>
      </c>
      <c r="J24" t="s">
        <v>2</v>
      </c>
      <c r="K24" s="1">
        <v>9.8712962962962968E-4</v>
      </c>
    </row>
    <row r="25" spans="1:11" x14ac:dyDescent="0.3">
      <c r="A25" s="2" t="s">
        <v>76</v>
      </c>
      <c r="B25" t="s">
        <v>47</v>
      </c>
      <c r="C25">
        <v>11</v>
      </c>
      <c r="D25" t="s">
        <v>15</v>
      </c>
      <c r="E25" t="s">
        <v>13</v>
      </c>
      <c r="F25">
        <v>10</v>
      </c>
      <c r="G25">
        <v>0</v>
      </c>
      <c r="H25" s="2" t="s">
        <v>48</v>
      </c>
      <c r="I25">
        <v>0</v>
      </c>
      <c r="J25" t="s">
        <v>2</v>
      </c>
    </row>
  </sheetData>
  <autoFilter ref="I1:I25" xr:uid="{69973A85-883A-4C10-B0ED-C48BD211101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B336-B670-43E6-A7D2-49EB346A5AA2}">
  <dimension ref="A1:J49"/>
  <sheetViews>
    <sheetView workbookViewId="0">
      <selection activeCell="E1" sqref="E1:E1048576"/>
    </sheetView>
  </sheetViews>
  <sheetFormatPr defaultRowHeight="14.4" x14ac:dyDescent="0.3"/>
  <cols>
    <col min="4" max="4" width="15.109375" bestFit="1" customWidth="1"/>
    <col min="5" max="5" width="11.88671875" bestFit="1" customWidth="1"/>
    <col min="7" max="7" width="12.109375" bestFit="1" customWidth="1"/>
    <col min="10" max="10" width="1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11</v>
      </c>
      <c r="B2">
        <v>1</v>
      </c>
      <c r="C2">
        <v>1</v>
      </c>
      <c r="D2" t="s">
        <v>12</v>
      </c>
      <c r="E2">
        <v>1</v>
      </c>
      <c r="F2">
        <v>57</v>
      </c>
      <c r="G2" s="1">
        <v>6.3712291666666671E-2</v>
      </c>
      <c r="H2">
        <v>26</v>
      </c>
      <c r="I2" t="s">
        <v>14</v>
      </c>
      <c r="J2" s="1">
        <v>1.0718518518518518E-3</v>
      </c>
    </row>
    <row r="3" spans="1:10" x14ac:dyDescent="0.3">
      <c r="A3" t="s">
        <v>11</v>
      </c>
      <c r="B3">
        <v>2</v>
      </c>
      <c r="C3">
        <v>11</v>
      </c>
      <c r="D3" t="s">
        <v>15</v>
      </c>
      <c r="E3">
        <v>5</v>
      </c>
      <c r="F3">
        <v>57</v>
      </c>
      <c r="G3">
        <v>22.457000000000001</v>
      </c>
      <c r="H3">
        <v>18</v>
      </c>
      <c r="I3" t="s">
        <v>2</v>
      </c>
      <c r="J3" s="1">
        <v>1.0921759259259259E-3</v>
      </c>
    </row>
    <row r="4" spans="1:10" x14ac:dyDescent="0.3">
      <c r="A4" t="s">
        <v>45</v>
      </c>
      <c r="B4">
        <v>1</v>
      </c>
      <c r="C4">
        <v>1</v>
      </c>
      <c r="D4" t="s">
        <v>12</v>
      </c>
      <c r="E4">
        <v>1</v>
      </c>
      <c r="F4">
        <v>50</v>
      </c>
      <c r="G4" s="1">
        <v>5.6056400462962966E-2</v>
      </c>
      <c r="H4">
        <v>25</v>
      </c>
      <c r="I4" t="s">
        <v>2</v>
      </c>
      <c r="J4" s="1">
        <v>1.0621875E-3</v>
      </c>
    </row>
    <row r="5" spans="1:10" x14ac:dyDescent="0.3">
      <c r="A5" t="s">
        <v>45</v>
      </c>
      <c r="B5">
        <v>2</v>
      </c>
      <c r="C5">
        <v>11</v>
      </c>
      <c r="D5" t="s">
        <v>15</v>
      </c>
      <c r="E5">
        <v>3</v>
      </c>
      <c r="F5">
        <v>50</v>
      </c>
      <c r="G5">
        <v>13.643000000000001</v>
      </c>
      <c r="H5">
        <v>18</v>
      </c>
      <c r="I5" t="s">
        <v>2</v>
      </c>
      <c r="J5" s="1">
        <v>1.067974537037037E-3</v>
      </c>
    </row>
    <row r="6" spans="1:10" x14ac:dyDescent="0.3">
      <c r="A6" t="s">
        <v>49</v>
      </c>
      <c r="B6">
        <v>5</v>
      </c>
      <c r="C6">
        <v>11</v>
      </c>
      <c r="D6" t="s">
        <v>15</v>
      </c>
      <c r="E6">
        <v>6</v>
      </c>
      <c r="F6">
        <v>58</v>
      </c>
      <c r="G6">
        <v>56.308999999999997</v>
      </c>
      <c r="H6">
        <v>10</v>
      </c>
      <c r="I6" t="s">
        <v>2</v>
      </c>
      <c r="J6" s="1">
        <v>9.3041666666666674E-4</v>
      </c>
    </row>
    <row r="7" spans="1:10" x14ac:dyDescent="0.3">
      <c r="A7" t="s">
        <v>49</v>
      </c>
      <c r="B7" t="s">
        <v>47</v>
      </c>
      <c r="C7">
        <v>1</v>
      </c>
      <c r="D7" t="s">
        <v>12</v>
      </c>
      <c r="E7">
        <v>1</v>
      </c>
      <c r="F7">
        <v>3</v>
      </c>
      <c r="G7" t="s">
        <v>48</v>
      </c>
      <c r="H7">
        <v>0</v>
      </c>
      <c r="I7" t="s">
        <v>2</v>
      </c>
      <c r="J7" s="1">
        <v>9.6197916666666665E-4</v>
      </c>
    </row>
    <row r="8" spans="1:10" x14ac:dyDescent="0.3">
      <c r="A8" t="s">
        <v>50</v>
      </c>
      <c r="B8">
        <v>1</v>
      </c>
      <c r="C8">
        <v>1</v>
      </c>
      <c r="D8" t="s">
        <v>12</v>
      </c>
      <c r="E8">
        <v>1</v>
      </c>
      <c r="F8">
        <v>53</v>
      </c>
      <c r="G8" s="1">
        <v>7.9439421296296289E-2</v>
      </c>
      <c r="H8">
        <v>26</v>
      </c>
      <c r="I8" t="s">
        <v>14</v>
      </c>
      <c r="J8" s="1">
        <v>1.0845601851851851E-3</v>
      </c>
    </row>
    <row r="9" spans="1:10" x14ac:dyDescent="0.3">
      <c r="A9" t="s">
        <v>50</v>
      </c>
      <c r="B9">
        <v>2</v>
      </c>
      <c r="C9">
        <v>11</v>
      </c>
      <c r="D9" t="s">
        <v>15</v>
      </c>
      <c r="E9">
        <v>2</v>
      </c>
      <c r="F9">
        <v>53</v>
      </c>
      <c r="G9">
        <v>12.535</v>
      </c>
      <c r="H9">
        <v>18</v>
      </c>
      <c r="I9" t="s">
        <v>2</v>
      </c>
      <c r="J9" s="1">
        <v>1.0873263888888888E-3</v>
      </c>
    </row>
    <row r="10" spans="1:10" x14ac:dyDescent="0.3">
      <c r="A10" t="s">
        <v>51</v>
      </c>
      <c r="B10">
        <v>1</v>
      </c>
      <c r="C10">
        <v>1</v>
      </c>
      <c r="D10" t="s">
        <v>12</v>
      </c>
      <c r="E10">
        <v>1</v>
      </c>
      <c r="F10">
        <v>56</v>
      </c>
      <c r="G10" s="1">
        <v>7.0052708333333338E-2</v>
      </c>
      <c r="H10">
        <v>25</v>
      </c>
      <c r="I10" t="s">
        <v>2</v>
      </c>
      <c r="J10" s="1">
        <v>1.1389583333333334E-3</v>
      </c>
    </row>
    <row r="11" spans="1:10" x14ac:dyDescent="0.3">
      <c r="A11" t="s">
        <v>51</v>
      </c>
      <c r="B11">
        <v>3</v>
      </c>
      <c r="C11">
        <v>11</v>
      </c>
      <c r="D11" t="s">
        <v>15</v>
      </c>
      <c r="E11">
        <v>2</v>
      </c>
      <c r="F11">
        <v>56</v>
      </c>
      <c r="G11">
        <v>19.16</v>
      </c>
      <c r="H11">
        <v>15</v>
      </c>
      <c r="I11" t="s">
        <v>2</v>
      </c>
      <c r="J11" s="1">
        <v>1.1503240740740742E-3</v>
      </c>
    </row>
    <row r="12" spans="1:10" x14ac:dyDescent="0.3">
      <c r="A12" t="s">
        <v>52</v>
      </c>
      <c r="B12">
        <v>2</v>
      </c>
      <c r="C12">
        <v>1</v>
      </c>
      <c r="D12" t="s">
        <v>12</v>
      </c>
      <c r="E12">
        <v>1</v>
      </c>
      <c r="F12">
        <v>57</v>
      </c>
      <c r="G12">
        <v>7.6120000000000001</v>
      </c>
      <c r="H12">
        <v>18</v>
      </c>
      <c r="I12" t="s">
        <v>2</v>
      </c>
      <c r="J12" s="1">
        <v>1.056261574074074E-3</v>
      </c>
    </row>
    <row r="13" spans="1:10" x14ac:dyDescent="0.3">
      <c r="A13" t="s">
        <v>52</v>
      </c>
      <c r="B13">
        <v>4</v>
      </c>
      <c r="C13">
        <v>11</v>
      </c>
      <c r="D13" t="s">
        <v>15</v>
      </c>
      <c r="E13">
        <v>4</v>
      </c>
      <c r="F13">
        <v>57</v>
      </c>
      <c r="G13">
        <v>14.65</v>
      </c>
      <c r="H13">
        <v>12</v>
      </c>
      <c r="I13" t="s">
        <v>2</v>
      </c>
      <c r="J13" s="1">
        <v>1.0515625E-3</v>
      </c>
    </row>
    <row r="14" spans="1:10" x14ac:dyDescent="0.3">
      <c r="A14" t="s">
        <v>53</v>
      </c>
      <c r="B14">
        <v>1</v>
      </c>
      <c r="C14">
        <v>1</v>
      </c>
      <c r="D14" t="s">
        <v>12</v>
      </c>
      <c r="E14">
        <v>1</v>
      </c>
      <c r="F14">
        <v>63</v>
      </c>
      <c r="G14" s="1">
        <v>5.9320046296296301E-2</v>
      </c>
      <c r="H14">
        <v>25</v>
      </c>
      <c r="I14" t="s">
        <v>2</v>
      </c>
      <c r="J14" s="1">
        <v>9.3016203703703707E-4</v>
      </c>
    </row>
    <row r="15" spans="1:10" x14ac:dyDescent="0.3">
      <c r="A15" t="s">
        <v>53</v>
      </c>
      <c r="B15">
        <v>8</v>
      </c>
      <c r="C15">
        <v>11</v>
      </c>
      <c r="D15" t="s">
        <v>15</v>
      </c>
      <c r="E15">
        <v>11</v>
      </c>
      <c r="F15">
        <v>63</v>
      </c>
      <c r="G15">
        <v>54.776000000000003</v>
      </c>
      <c r="H15">
        <v>4</v>
      </c>
      <c r="I15" t="s">
        <v>2</v>
      </c>
      <c r="J15" s="1">
        <v>9.2229166666666675E-4</v>
      </c>
    </row>
    <row r="16" spans="1:10" x14ac:dyDescent="0.3">
      <c r="A16" t="s">
        <v>54</v>
      </c>
      <c r="B16">
        <v>6</v>
      </c>
      <c r="C16">
        <v>1</v>
      </c>
      <c r="D16" t="s">
        <v>12</v>
      </c>
      <c r="E16">
        <v>6</v>
      </c>
      <c r="F16">
        <v>78</v>
      </c>
      <c r="G16">
        <v>13.853</v>
      </c>
      <c r="H16">
        <v>8</v>
      </c>
      <c r="I16" t="s">
        <v>2</v>
      </c>
      <c r="J16" s="1">
        <v>8.6306712962962964E-4</v>
      </c>
    </row>
    <row r="17" spans="1:10" x14ac:dyDescent="0.3">
      <c r="A17" t="s">
        <v>54</v>
      </c>
      <c r="B17" t="s">
        <v>47</v>
      </c>
      <c r="C17">
        <v>11</v>
      </c>
      <c r="D17" t="s">
        <v>15</v>
      </c>
      <c r="E17">
        <v>16</v>
      </c>
      <c r="F17">
        <v>0</v>
      </c>
      <c r="G17" t="s">
        <v>48</v>
      </c>
      <c r="H17">
        <v>0</v>
      </c>
      <c r="I17" t="s">
        <v>2</v>
      </c>
    </row>
    <row r="18" spans="1:10" x14ac:dyDescent="0.3">
      <c r="A18" t="s">
        <v>55</v>
      </c>
      <c r="B18">
        <v>1</v>
      </c>
      <c r="C18">
        <v>1</v>
      </c>
      <c r="D18" t="s">
        <v>12</v>
      </c>
      <c r="E18">
        <v>2</v>
      </c>
      <c r="F18">
        <v>70</v>
      </c>
      <c r="G18" s="1">
        <v>7.3471377314814817E-2</v>
      </c>
      <c r="H18">
        <v>25</v>
      </c>
      <c r="I18" t="s">
        <v>2</v>
      </c>
      <c r="J18" s="1">
        <v>8.7464120370370376E-4</v>
      </c>
    </row>
    <row r="19" spans="1:10" x14ac:dyDescent="0.3">
      <c r="A19" t="s">
        <v>55</v>
      </c>
      <c r="B19" t="s">
        <v>47</v>
      </c>
      <c r="C19">
        <v>11</v>
      </c>
      <c r="D19" t="s">
        <v>15</v>
      </c>
      <c r="E19">
        <v>16</v>
      </c>
      <c r="F19">
        <v>51</v>
      </c>
      <c r="G19" t="s">
        <v>48</v>
      </c>
      <c r="H19">
        <v>0</v>
      </c>
      <c r="I19" t="s">
        <v>2</v>
      </c>
      <c r="J19" s="1">
        <v>9.1225694444444449E-4</v>
      </c>
    </row>
    <row r="20" spans="1:10" x14ac:dyDescent="0.3">
      <c r="A20" t="s">
        <v>56</v>
      </c>
      <c r="B20">
        <v>1</v>
      </c>
      <c r="C20">
        <v>1</v>
      </c>
      <c r="D20" t="s">
        <v>12</v>
      </c>
      <c r="E20">
        <v>2</v>
      </c>
      <c r="F20">
        <v>66</v>
      </c>
      <c r="G20" s="1">
        <v>6.1345219907407406E-2</v>
      </c>
      <c r="H20">
        <v>25</v>
      </c>
      <c r="I20" t="s">
        <v>2</v>
      </c>
      <c r="J20" s="1">
        <v>9.0018518518518518E-4</v>
      </c>
    </row>
    <row r="21" spans="1:10" x14ac:dyDescent="0.3">
      <c r="A21" t="s">
        <v>56</v>
      </c>
      <c r="B21">
        <v>8</v>
      </c>
      <c r="C21">
        <v>11</v>
      </c>
      <c r="D21" t="s">
        <v>15</v>
      </c>
      <c r="E21">
        <v>11</v>
      </c>
      <c r="F21">
        <v>66</v>
      </c>
      <c r="G21">
        <v>59.524000000000001</v>
      </c>
      <c r="H21">
        <v>4</v>
      </c>
      <c r="I21" t="s">
        <v>2</v>
      </c>
      <c r="J21" s="1">
        <v>9.0028935185185177E-4</v>
      </c>
    </row>
    <row r="22" spans="1:10" x14ac:dyDescent="0.3">
      <c r="A22" t="s">
        <v>57</v>
      </c>
      <c r="B22">
        <v>5</v>
      </c>
      <c r="C22">
        <v>1</v>
      </c>
      <c r="D22" t="s">
        <v>12</v>
      </c>
      <c r="E22">
        <v>1</v>
      </c>
      <c r="F22">
        <v>71</v>
      </c>
      <c r="G22">
        <v>37.253</v>
      </c>
      <c r="H22">
        <v>10</v>
      </c>
      <c r="I22" t="s">
        <v>2</v>
      </c>
      <c r="J22" s="1">
        <v>7.8378472222222217E-4</v>
      </c>
    </row>
    <row r="23" spans="1:10" x14ac:dyDescent="0.3">
      <c r="A23" t="s">
        <v>57</v>
      </c>
      <c r="B23">
        <v>7</v>
      </c>
      <c r="C23">
        <v>11</v>
      </c>
      <c r="D23" t="s">
        <v>15</v>
      </c>
      <c r="E23">
        <v>8</v>
      </c>
      <c r="F23">
        <v>71</v>
      </c>
      <c r="G23">
        <v>54.671999999999997</v>
      </c>
      <c r="H23">
        <v>6</v>
      </c>
      <c r="I23" t="s">
        <v>2</v>
      </c>
      <c r="J23" s="1">
        <v>8.0664351851851849E-4</v>
      </c>
    </row>
    <row r="24" spans="1:10" x14ac:dyDescent="0.3">
      <c r="A24" t="s">
        <v>59</v>
      </c>
      <c r="B24">
        <v>2</v>
      </c>
      <c r="C24">
        <v>1</v>
      </c>
      <c r="D24" t="s">
        <v>12</v>
      </c>
      <c r="E24">
        <v>4</v>
      </c>
      <c r="F24">
        <v>52</v>
      </c>
      <c r="G24">
        <v>1.4650000000000001</v>
      </c>
      <c r="H24">
        <v>18</v>
      </c>
      <c r="I24" t="s">
        <v>2</v>
      </c>
      <c r="J24" s="1">
        <v>1.0295370370370369E-3</v>
      </c>
    </row>
    <row r="25" spans="1:10" x14ac:dyDescent="0.3">
      <c r="A25" t="s">
        <v>59</v>
      </c>
      <c r="B25">
        <v>17</v>
      </c>
      <c r="C25">
        <v>11</v>
      </c>
      <c r="D25" t="s">
        <v>15</v>
      </c>
      <c r="E25">
        <v>20</v>
      </c>
      <c r="F25">
        <v>50</v>
      </c>
      <c r="G25" t="s">
        <v>44</v>
      </c>
      <c r="H25">
        <v>0</v>
      </c>
      <c r="I25" t="s">
        <v>2</v>
      </c>
      <c r="J25" s="1">
        <v>1.0382754629629628E-3</v>
      </c>
    </row>
    <row r="26" spans="1:10" x14ac:dyDescent="0.3">
      <c r="A26" t="s">
        <v>61</v>
      </c>
      <c r="B26">
        <v>5</v>
      </c>
      <c r="C26">
        <v>1</v>
      </c>
      <c r="D26" t="s">
        <v>12</v>
      </c>
      <c r="E26">
        <v>3</v>
      </c>
      <c r="F26">
        <v>70</v>
      </c>
      <c r="G26">
        <v>21.349</v>
      </c>
      <c r="H26">
        <v>10</v>
      </c>
      <c r="I26" t="s">
        <v>2</v>
      </c>
      <c r="J26" s="1">
        <v>9.3643518518518522E-4</v>
      </c>
    </row>
    <row r="27" spans="1:10" x14ac:dyDescent="0.3">
      <c r="A27" t="s">
        <v>61</v>
      </c>
      <c r="B27">
        <v>7</v>
      </c>
      <c r="C27">
        <v>11</v>
      </c>
      <c r="D27" t="s">
        <v>15</v>
      </c>
      <c r="E27">
        <v>16</v>
      </c>
      <c r="F27">
        <v>70</v>
      </c>
      <c r="G27">
        <v>39.792000000000002</v>
      </c>
      <c r="H27">
        <v>6</v>
      </c>
      <c r="I27" t="s">
        <v>2</v>
      </c>
      <c r="J27" s="1">
        <v>9.386111111111112E-4</v>
      </c>
    </row>
    <row r="28" spans="1:10" x14ac:dyDescent="0.3">
      <c r="A28" t="s">
        <v>62</v>
      </c>
      <c r="B28">
        <v>4</v>
      </c>
      <c r="C28">
        <v>1</v>
      </c>
      <c r="D28" t="s">
        <v>12</v>
      </c>
      <c r="E28">
        <v>11</v>
      </c>
      <c r="F28">
        <v>44</v>
      </c>
      <c r="G28">
        <v>9.2260000000000009</v>
      </c>
      <c r="H28">
        <v>12</v>
      </c>
      <c r="I28" t="s">
        <v>2</v>
      </c>
      <c r="J28" s="1">
        <v>1.2283333333333332E-3</v>
      </c>
    </row>
    <row r="29" spans="1:10" x14ac:dyDescent="0.3">
      <c r="A29" t="s">
        <v>62</v>
      </c>
      <c r="B29">
        <v>7</v>
      </c>
      <c r="C29">
        <v>11</v>
      </c>
      <c r="D29" t="s">
        <v>15</v>
      </c>
      <c r="E29">
        <v>2</v>
      </c>
      <c r="F29">
        <v>44</v>
      </c>
      <c r="G29">
        <v>3.1949999999999998</v>
      </c>
      <c r="H29">
        <v>7</v>
      </c>
      <c r="I29" t="s">
        <v>14</v>
      </c>
      <c r="J29" s="1">
        <v>1.2118171296296295E-3</v>
      </c>
    </row>
    <row r="30" spans="1:10" x14ac:dyDescent="0.3">
      <c r="A30" t="s">
        <v>64</v>
      </c>
      <c r="B30">
        <v>2</v>
      </c>
      <c r="C30">
        <v>1</v>
      </c>
      <c r="D30" t="s">
        <v>12</v>
      </c>
      <c r="E30">
        <v>2</v>
      </c>
      <c r="F30">
        <v>72</v>
      </c>
      <c r="G30">
        <v>22.896000000000001</v>
      </c>
      <c r="H30">
        <v>18</v>
      </c>
      <c r="I30" t="s">
        <v>2</v>
      </c>
      <c r="J30" s="1">
        <v>8.6518518518518509E-4</v>
      </c>
    </row>
    <row r="31" spans="1:10" x14ac:dyDescent="0.3">
      <c r="A31" t="s">
        <v>64</v>
      </c>
      <c r="B31">
        <v>6</v>
      </c>
      <c r="C31">
        <v>11</v>
      </c>
      <c r="D31" t="s">
        <v>15</v>
      </c>
      <c r="E31">
        <v>5</v>
      </c>
      <c r="F31">
        <v>72</v>
      </c>
      <c r="G31">
        <v>39.542000000000002</v>
      </c>
      <c r="H31">
        <v>8</v>
      </c>
      <c r="I31" t="s">
        <v>2</v>
      </c>
      <c r="J31" s="1">
        <v>8.6327546296296304E-4</v>
      </c>
    </row>
    <row r="32" spans="1:10" x14ac:dyDescent="0.3">
      <c r="A32" t="s">
        <v>65</v>
      </c>
      <c r="B32">
        <v>6</v>
      </c>
      <c r="C32">
        <v>1</v>
      </c>
      <c r="D32" t="s">
        <v>12</v>
      </c>
      <c r="E32">
        <v>7</v>
      </c>
      <c r="F32">
        <v>53</v>
      </c>
      <c r="G32">
        <v>37.932000000000002</v>
      </c>
      <c r="H32">
        <v>8</v>
      </c>
      <c r="I32" t="s">
        <v>2</v>
      </c>
      <c r="J32" s="1">
        <v>9.4612268518518526E-4</v>
      </c>
    </row>
    <row r="33" spans="1:10" x14ac:dyDescent="0.3">
      <c r="A33" t="s">
        <v>65</v>
      </c>
      <c r="B33">
        <v>8</v>
      </c>
      <c r="C33">
        <v>11</v>
      </c>
      <c r="D33" t="s">
        <v>15</v>
      </c>
      <c r="E33">
        <v>8</v>
      </c>
      <c r="F33">
        <v>53</v>
      </c>
      <c r="G33">
        <v>54.148000000000003</v>
      </c>
      <c r="H33">
        <v>4</v>
      </c>
      <c r="I33" t="s">
        <v>2</v>
      </c>
      <c r="J33" s="1">
        <v>9.6031250000000001E-4</v>
      </c>
    </row>
    <row r="34" spans="1:10" x14ac:dyDescent="0.3">
      <c r="A34" t="s">
        <v>67</v>
      </c>
      <c r="B34">
        <v>5</v>
      </c>
      <c r="C34">
        <v>1</v>
      </c>
      <c r="D34" t="s">
        <v>12</v>
      </c>
      <c r="E34">
        <v>6</v>
      </c>
      <c r="F34">
        <v>51</v>
      </c>
      <c r="G34">
        <v>77.097999999999999</v>
      </c>
      <c r="H34">
        <v>10</v>
      </c>
      <c r="I34" t="s">
        <v>2</v>
      </c>
      <c r="J34" s="1">
        <v>1.2360879629629629E-3</v>
      </c>
    </row>
    <row r="35" spans="1:10" x14ac:dyDescent="0.3">
      <c r="A35" t="s">
        <v>67</v>
      </c>
      <c r="B35">
        <v>17</v>
      </c>
      <c r="C35">
        <v>11</v>
      </c>
      <c r="D35" t="s">
        <v>15</v>
      </c>
      <c r="E35">
        <v>4</v>
      </c>
      <c r="F35">
        <v>49</v>
      </c>
      <c r="G35" t="s">
        <v>48</v>
      </c>
      <c r="H35">
        <v>0</v>
      </c>
      <c r="I35" t="s">
        <v>2</v>
      </c>
      <c r="J35" s="1">
        <v>1.2385763888888889E-3</v>
      </c>
    </row>
    <row r="36" spans="1:10" x14ac:dyDescent="0.3">
      <c r="A36" t="s">
        <v>68</v>
      </c>
      <c r="B36">
        <v>2</v>
      </c>
      <c r="C36">
        <v>1</v>
      </c>
      <c r="D36" t="s">
        <v>12</v>
      </c>
      <c r="E36">
        <v>2</v>
      </c>
      <c r="F36">
        <v>62</v>
      </c>
      <c r="G36">
        <v>20.945</v>
      </c>
      <c r="H36">
        <v>18</v>
      </c>
      <c r="I36" t="s">
        <v>2</v>
      </c>
      <c r="J36" s="1">
        <v>1.1107291666666665E-3</v>
      </c>
    </row>
    <row r="37" spans="1:10" x14ac:dyDescent="0.3">
      <c r="A37" t="s">
        <v>68</v>
      </c>
      <c r="B37">
        <v>10</v>
      </c>
      <c r="C37">
        <v>11</v>
      </c>
      <c r="D37" t="s">
        <v>15</v>
      </c>
      <c r="E37">
        <v>13</v>
      </c>
      <c r="F37">
        <v>61</v>
      </c>
      <c r="G37" t="s">
        <v>30</v>
      </c>
      <c r="H37">
        <v>1</v>
      </c>
      <c r="I37" t="s">
        <v>2</v>
      </c>
      <c r="J37" s="1">
        <v>1.1282060185185186E-3</v>
      </c>
    </row>
    <row r="38" spans="1:10" x14ac:dyDescent="0.3">
      <c r="A38" t="s">
        <v>69</v>
      </c>
      <c r="B38">
        <v>3</v>
      </c>
      <c r="C38">
        <v>1</v>
      </c>
      <c r="D38" t="s">
        <v>12</v>
      </c>
      <c r="E38">
        <v>2</v>
      </c>
      <c r="F38">
        <v>56</v>
      </c>
      <c r="G38">
        <v>19.411999999999999</v>
      </c>
      <c r="H38">
        <v>15</v>
      </c>
      <c r="I38" t="s">
        <v>2</v>
      </c>
      <c r="J38" s="1">
        <v>1.1356134259259258E-3</v>
      </c>
    </row>
    <row r="39" spans="1:10" x14ac:dyDescent="0.3">
      <c r="A39" t="s">
        <v>69</v>
      </c>
      <c r="B39">
        <v>7</v>
      </c>
      <c r="C39">
        <v>11</v>
      </c>
      <c r="D39" t="s">
        <v>15</v>
      </c>
      <c r="E39">
        <v>9</v>
      </c>
      <c r="F39">
        <v>56</v>
      </c>
      <c r="G39">
        <v>59.072000000000003</v>
      </c>
      <c r="H39">
        <v>6</v>
      </c>
      <c r="I39" t="s">
        <v>2</v>
      </c>
      <c r="J39" s="1">
        <v>1.1402083333333334E-3</v>
      </c>
    </row>
    <row r="40" spans="1:10" x14ac:dyDescent="0.3">
      <c r="A40" t="s">
        <v>71</v>
      </c>
      <c r="B40">
        <v>6</v>
      </c>
      <c r="C40">
        <v>1</v>
      </c>
      <c r="D40" t="s">
        <v>12</v>
      </c>
      <c r="E40">
        <v>2</v>
      </c>
      <c r="F40">
        <v>71</v>
      </c>
      <c r="G40">
        <v>59.558</v>
      </c>
      <c r="H40">
        <v>8</v>
      </c>
      <c r="I40" t="s">
        <v>2</v>
      </c>
      <c r="J40" s="1">
        <v>9.3601851851851854E-4</v>
      </c>
    </row>
    <row r="41" spans="1:10" x14ac:dyDescent="0.3">
      <c r="A41" t="s">
        <v>71</v>
      </c>
      <c r="B41">
        <v>17</v>
      </c>
      <c r="C41">
        <v>11</v>
      </c>
      <c r="D41" t="s">
        <v>15</v>
      </c>
      <c r="E41">
        <v>18</v>
      </c>
      <c r="F41">
        <v>70</v>
      </c>
      <c r="G41" t="s">
        <v>30</v>
      </c>
      <c r="H41">
        <v>0</v>
      </c>
      <c r="I41" t="s">
        <v>2</v>
      </c>
      <c r="J41" s="1">
        <v>9.1677083333333335E-4</v>
      </c>
    </row>
    <row r="42" spans="1:10" x14ac:dyDescent="0.3">
      <c r="A42" t="s">
        <v>72</v>
      </c>
      <c r="B42">
        <v>1</v>
      </c>
      <c r="C42">
        <v>1</v>
      </c>
      <c r="D42" t="s">
        <v>12</v>
      </c>
      <c r="E42">
        <v>17</v>
      </c>
      <c r="F42">
        <v>69</v>
      </c>
      <c r="G42" s="1">
        <v>8.8129976851851852E-2</v>
      </c>
      <c r="H42">
        <v>26</v>
      </c>
      <c r="I42" t="s">
        <v>14</v>
      </c>
      <c r="J42" s="1">
        <v>9.3138888888888893E-4</v>
      </c>
    </row>
    <row r="43" spans="1:10" x14ac:dyDescent="0.3">
      <c r="A43" t="s">
        <v>72</v>
      </c>
      <c r="B43">
        <v>11</v>
      </c>
      <c r="C43">
        <v>11</v>
      </c>
      <c r="D43" t="s">
        <v>15</v>
      </c>
      <c r="E43">
        <v>12</v>
      </c>
      <c r="F43">
        <v>69</v>
      </c>
      <c r="G43">
        <v>51.530999999999999</v>
      </c>
      <c r="H43">
        <v>0</v>
      </c>
      <c r="I43" t="s">
        <v>2</v>
      </c>
      <c r="J43" s="1">
        <v>9.5072916666666667E-4</v>
      </c>
    </row>
    <row r="44" spans="1:10" x14ac:dyDescent="0.3">
      <c r="A44" t="s">
        <v>74</v>
      </c>
      <c r="B44">
        <v>5</v>
      </c>
      <c r="C44">
        <v>1</v>
      </c>
      <c r="D44" t="s">
        <v>12</v>
      </c>
      <c r="E44">
        <v>5</v>
      </c>
      <c r="F44">
        <v>50</v>
      </c>
      <c r="G44">
        <v>16.582000000000001</v>
      </c>
      <c r="H44">
        <v>10</v>
      </c>
      <c r="I44" t="s">
        <v>2</v>
      </c>
      <c r="J44" s="1">
        <v>1.1139814814814814E-3</v>
      </c>
    </row>
    <row r="45" spans="1:10" x14ac:dyDescent="0.3">
      <c r="A45" t="s">
        <v>74</v>
      </c>
      <c r="B45">
        <v>10</v>
      </c>
      <c r="C45">
        <v>11</v>
      </c>
      <c r="D45" t="s">
        <v>15</v>
      </c>
      <c r="E45">
        <v>15</v>
      </c>
      <c r="F45">
        <v>50</v>
      </c>
      <c r="G45">
        <v>63.113999999999997</v>
      </c>
      <c r="H45">
        <v>1</v>
      </c>
      <c r="I45" t="s">
        <v>2</v>
      </c>
      <c r="J45" s="1">
        <v>1.1148842592592593E-3</v>
      </c>
    </row>
    <row r="46" spans="1:10" x14ac:dyDescent="0.3">
      <c r="A46" t="s">
        <v>75</v>
      </c>
      <c r="B46">
        <v>1</v>
      </c>
      <c r="C46">
        <v>1</v>
      </c>
      <c r="D46" t="s">
        <v>12</v>
      </c>
      <c r="E46">
        <v>2</v>
      </c>
      <c r="F46">
        <v>57</v>
      </c>
      <c r="G46" s="1">
        <v>6.3256053240740739E-2</v>
      </c>
      <c r="H46">
        <v>25</v>
      </c>
      <c r="I46" t="s">
        <v>2</v>
      </c>
      <c r="J46" s="1">
        <v>9.5954861111111111E-4</v>
      </c>
    </row>
    <row r="47" spans="1:10" x14ac:dyDescent="0.3">
      <c r="A47" t="s">
        <v>75</v>
      </c>
      <c r="B47" t="s">
        <v>47</v>
      </c>
      <c r="C47">
        <v>11</v>
      </c>
      <c r="D47" t="s">
        <v>15</v>
      </c>
      <c r="E47">
        <v>9</v>
      </c>
      <c r="F47">
        <v>38</v>
      </c>
      <c r="G47" t="s">
        <v>48</v>
      </c>
      <c r="H47">
        <v>0</v>
      </c>
      <c r="I47" t="s">
        <v>2</v>
      </c>
      <c r="J47" s="1">
        <v>9.8712962962962968E-4</v>
      </c>
    </row>
    <row r="48" spans="1:10" x14ac:dyDescent="0.3">
      <c r="A48" t="s">
        <v>76</v>
      </c>
      <c r="B48">
        <v>6</v>
      </c>
      <c r="C48">
        <v>1</v>
      </c>
      <c r="D48" t="s">
        <v>12</v>
      </c>
      <c r="E48">
        <v>4</v>
      </c>
      <c r="F48">
        <v>58</v>
      </c>
      <c r="G48">
        <v>49.847000000000001</v>
      </c>
      <c r="H48">
        <v>8</v>
      </c>
      <c r="I48" t="s">
        <v>2</v>
      </c>
      <c r="J48" s="1">
        <v>1.0157986111111112E-3</v>
      </c>
    </row>
    <row r="49" spans="1:9" x14ac:dyDescent="0.3">
      <c r="A49" t="s">
        <v>76</v>
      </c>
      <c r="B49" t="s">
        <v>47</v>
      </c>
      <c r="C49">
        <v>11</v>
      </c>
      <c r="D49" t="s">
        <v>15</v>
      </c>
      <c r="E49">
        <v>10</v>
      </c>
      <c r="F49">
        <v>0</v>
      </c>
      <c r="G49" t="s">
        <v>48</v>
      </c>
      <c r="H49">
        <v>0</v>
      </c>
      <c r="I49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6D42-6F7C-4376-B842-7908033BC2D6}">
  <sheetPr filterMode="1"/>
  <dimension ref="A1:N73"/>
  <sheetViews>
    <sheetView topLeftCell="A11" workbookViewId="0">
      <selection activeCell="O45" sqref="O45"/>
    </sheetView>
  </sheetViews>
  <sheetFormatPr defaultColWidth="9.109375" defaultRowHeight="14.4" x14ac:dyDescent="0.3"/>
  <cols>
    <col min="1" max="1" width="15.5546875" bestFit="1" customWidth="1"/>
    <col min="4" max="4" width="17.88671875" bestFit="1" customWidth="1"/>
    <col min="5" max="5" width="14.109375" bestFit="1" customWidth="1"/>
    <col min="6" max="6" width="7.44140625" bestFit="1" customWidth="1"/>
    <col min="7" max="7" width="14.44140625" bestFit="1" customWidth="1"/>
    <col min="9" max="9" width="16.33203125" bestFit="1" customWidth="1"/>
    <col min="10" max="10" width="18" bestFit="1" customWidth="1"/>
    <col min="13" max="13" width="17.44140625" bestFit="1" customWidth="1"/>
    <col min="14" max="14" width="1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L1" t="s">
        <v>8</v>
      </c>
      <c r="M1" t="s">
        <v>88</v>
      </c>
      <c r="N1" t="s">
        <v>89</v>
      </c>
    </row>
    <row r="2" spans="1:14" x14ac:dyDescent="0.3">
      <c r="A2" t="s">
        <v>11</v>
      </c>
      <c r="B2">
        <v>1</v>
      </c>
      <c r="C2">
        <v>1</v>
      </c>
      <c r="D2" t="s">
        <v>12</v>
      </c>
      <c r="E2">
        <v>1</v>
      </c>
      <c r="F2">
        <v>57</v>
      </c>
      <c r="G2" s="1">
        <v>6.3712291666666671E-2</v>
      </c>
      <c r="H2">
        <v>26</v>
      </c>
      <c r="I2" t="s">
        <v>14</v>
      </c>
      <c r="J2" s="1">
        <v>1.0718518518518518E-3</v>
      </c>
      <c r="L2">
        <v>26</v>
      </c>
      <c r="M2">
        <f>SUM($L$2:L2)</f>
        <v>26</v>
      </c>
    </row>
    <row r="3" spans="1:14" x14ac:dyDescent="0.3">
      <c r="A3" t="s">
        <v>11</v>
      </c>
      <c r="B3">
        <v>2</v>
      </c>
      <c r="C3">
        <v>11</v>
      </c>
      <c r="D3" t="s">
        <v>15</v>
      </c>
      <c r="E3">
        <v>5</v>
      </c>
      <c r="F3">
        <v>57</v>
      </c>
      <c r="G3">
        <v>22.457000000000001</v>
      </c>
      <c r="H3">
        <v>18</v>
      </c>
      <c r="I3" t="s">
        <v>2</v>
      </c>
      <c r="J3" s="1">
        <v>1.0921759259259259E-3</v>
      </c>
      <c r="L3">
        <v>18</v>
      </c>
      <c r="M3">
        <f>SUM($L$2:L3)</f>
        <v>44</v>
      </c>
    </row>
    <row r="4" spans="1:14" hidden="1" x14ac:dyDescent="0.3">
      <c r="A4" t="s">
        <v>11</v>
      </c>
      <c r="D4" t="s">
        <v>86</v>
      </c>
      <c r="H4">
        <v>6</v>
      </c>
      <c r="J4" s="1"/>
      <c r="L4">
        <v>25</v>
      </c>
    </row>
    <row r="5" spans="1:14" x14ac:dyDescent="0.3">
      <c r="A5" t="s">
        <v>45</v>
      </c>
      <c r="B5">
        <v>1</v>
      </c>
      <c r="C5">
        <v>1</v>
      </c>
      <c r="D5" t="s">
        <v>12</v>
      </c>
      <c r="E5">
        <v>1</v>
      </c>
      <c r="F5">
        <v>50</v>
      </c>
      <c r="G5" s="1">
        <v>5.6056400462962966E-2</v>
      </c>
      <c r="H5">
        <v>25</v>
      </c>
      <c r="I5" t="s">
        <v>2</v>
      </c>
      <c r="J5" s="1">
        <v>1.0621875E-3</v>
      </c>
      <c r="L5">
        <v>18</v>
      </c>
      <c r="M5">
        <f>SUM($L$2:L5)</f>
        <v>87</v>
      </c>
    </row>
    <row r="6" spans="1:14" x14ac:dyDescent="0.3">
      <c r="A6" t="s">
        <v>45</v>
      </c>
      <c r="B6">
        <v>2</v>
      </c>
      <c r="C6">
        <v>11</v>
      </c>
      <c r="D6" t="s">
        <v>15</v>
      </c>
      <c r="E6">
        <v>3</v>
      </c>
      <c r="F6">
        <v>50</v>
      </c>
      <c r="G6">
        <v>13.643000000000001</v>
      </c>
      <c r="H6">
        <v>18</v>
      </c>
      <c r="I6" t="s">
        <v>2</v>
      </c>
      <c r="J6" s="1">
        <v>1.067974537037037E-3</v>
      </c>
      <c r="L6">
        <v>10</v>
      </c>
      <c r="M6">
        <f>SUM($L$2:L6)</f>
        <v>97</v>
      </c>
    </row>
    <row r="7" spans="1:14" hidden="1" x14ac:dyDescent="0.3">
      <c r="A7" t="s">
        <v>45</v>
      </c>
      <c r="D7" t="s">
        <v>86</v>
      </c>
      <c r="H7">
        <v>6</v>
      </c>
      <c r="J7" s="1"/>
      <c r="L7">
        <v>0</v>
      </c>
    </row>
    <row r="8" spans="1:14" x14ac:dyDescent="0.3">
      <c r="A8" t="s">
        <v>49</v>
      </c>
      <c r="B8">
        <v>5</v>
      </c>
      <c r="C8">
        <v>11</v>
      </c>
      <c r="D8" t="s">
        <v>15</v>
      </c>
      <c r="E8">
        <v>6</v>
      </c>
      <c r="F8">
        <v>58</v>
      </c>
      <c r="G8">
        <v>56.308999999999997</v>
      </c>
      <c r="H8">
        <v>10</v>
      </c>
      <c r="I8" t="s">
        <v>2</v>
      </c>
      <c r="J8" s="1">
        <v>9.3041666666666674E-4</v>
      </c>
      <c r="L8">
        <v>26</v>
      </c>
      <c r="M8">
        <f>SUM($L$2:L8)</f>
        <v>123</v>
      </c>
    </row>
    <row r="9" spans="1:14" x14ac:dyDescent="0.3">
      <c r="A9" t="s">
        <v>49</v>
      </c>
      <c r="B9" t="s">
        <v>47</v>
      </c>
      <c r="C9">
        <v>1</v>
      </c>
      <c r="D9" t="s">
        <v>12</v>
      </c>
      <c r="E9">
        <v>1</v>
      </c>
      <c r="F9">
        <v>3</v>
      </c>
      <c r="G9" t="s">
        <v>48</v>
      </c>
      <c r="H9">
        <v>0</v>
      </c>
      <c r="I9" t="s">
        <v>2</v>
      </c>
      <c r="J9" s="1">
        <v>9.6197916666666665E-4</v>
      </c>
      <c r="L9">
        <v>18</v>
      </c>
      <c r="M9">
        <f>SUM($L$2:L9)</f>
        <v>141</v>
      </c>
    </row>
    <row r="10" spans="1:14" hidden="1" x14ac:dyDescent="0.3">
      <c r="A10" t="s">
        <v>49</v>
      </c>
      <c r="D10" t="s">
        <v>86</v>
      </c>
      <c r="H10">
        <v>6</v>
      </c>
      <c r="J10" s="1"/>
      <c r="L10">
        <v>25</v>
      </c>
    </row>
    <row r="11" spans="1:14" x14ac:dyDescent="0.3">
      <c r="A11" t="s">
        <v>50</v>
      </c>
      <c r="B11">
        <v>1</v>
      </c>
      <c r="C11">
        <v>1</v>
      </c>
      <c r="D11" t="s">
        <v>12</v>
      </c>
      <c r="E11">
        <v>1</v>
      </c>
      <c r="F11">
        <v>53</v>
      </c>
      <c r="G11" s="1">
        <v>7.9439421296296289E-2</v>
      </c>
      <c r="H11">
        <v>26</v>
      </c>
      <c r="I11" t="s">
        <v>14</v>
      </c>
      <c r="J11" s="1">
        <v>1.0845601851851851E-3</v>
      </c>
      <c r="L11">
        <v>15</v>
      </c>
      <c r="M11">
        <f>SUM($L$2:L11)</f>
        <v>181</v>
      </c>
    </row>
    <row r="12" spans="1:14" x14ac:dyDescent="0.3">
      <c r="A12" t="s">
        <v>50</v>
      </c>
      <c r="B12">
        <v>2</v>
      </c>
      <c r="C12">
        <v>11</v>
      </c>
      <c r="D12" t="s">
        <v>15</v>
      </c>
      <c r="E12">
        <v>2</v>
      </c>
      <c r="F12">
        <v>53</v>
      </c>
      <c r="G12">
        <v>12.535</v>
      </c>
      <c r="H12">
        <v>18</v>
      </c>
      <c r="I12" t="s">
        <v>2</v>
      </c>
      <c r="J12" s="1">
        <v>1.0873263888888888E-3</v>
      </c>
      <c r="L12">
        <v>18</v>
      </c>
      <c r="M12">
        <f>SUM($L$2:L12)</f>
        <v>199</v>
      </c>
    </row>
    <row r="13" spans="1:14" hidden="1" x14ac:dyDescent="0.3">
      <c r="A13" t="s">
        <v>50</v>
      </c>
      <c r="D13" t="s">
        <v>86</v>
      </c>
      <c r="H13">
        <v>6</v>
      </c>
      <c r="J13" s="1"/>
      <c r="L13">
        <v>12</v>
      </c>
    </row>
    <row r="14" spans="1:14" x14ac:dyDescent="0.3">
      <c r="A14" t="s">
        <v>51</v>
      </c>
      <c r="B14">
        <v>1</v>
      </c>
      <c r="C14">
        <v>1</v>
      </c>
      <c r="D14" t="s">
        <v>12</v>
      </c>
      <c r="E14">
        <v>1</v>
      </c>
      <c r="F14">
        <v>56</v>
      </c>
      <c r="G14" s="1">
        <v>7.0052708333333338E-2</v>
      </c>
      <c r="H14">
        <v>25</v>
      </c>
      <c r="I14" t="s">
        <v>2</v>
      </c>
      <c r="J14" s="1">
        <v>1.1389583333333334E-3</v>
      </c>
      <c r="L14">
        <v>25</v>
      </c>
      <c r="M14">
        <f>SUM($L$2:L14)</f>
        <v>236</v>
      </c>
    </row>
    <row r="15" spans="1:14" x14ac:dyDescent="0.3">
      <c r="A15" t="s">
        <v>51</v>
      </c>
      <c r="B15">
        <v>3</v>
      </c>
      <c r="C15">
        <v>11</v>
      </c>
      <c r="D15" t="s">
        <v>15</v>
      </c>
      <c r="E15">
        <v>2</v>
      </c>
      <c r="F15">
        <v>56</v>
      </c>
      <c r="G15">
        <v>19.16</v>
      </c>
      <c r="H15">
        <v>15</v>
      </c>
      <c r="I15" t="s">
        <v>2</v>
      </c>
      <c r="J15" s="1">
        <v>1.1503240740740742E-3</v>
      </c>
      <c r="L15">
        <v>4</v>
      </c>
      <c r="M15">
        <f>SUM($L$2:L15)</f>
        <v>240</v>
      </c>
    </row>
    <row r="16" spans="1:14" hidden="1" x14ac:dyDescent="0.3">
      <c r="A16" t="s">
        <v>51</v>
      </c>
      <c r="D16" t="s">
        <v>86</v>
      </c>
      <c r="H16">
        <v>6</v>
      </c>
      <c r="J16" s="1"/>
      <c r="L16">
        <v>8</v>
      </c>
    </row>
    <row r="17" spans="1:13" x14ac:dyDescent="0.3">
      <c r="A17" t="s">
        <v>52</v>
      </c>
      <c r="B17">
        <v>2</v>
      </c>
      <c r="C17">
        <v>1</v>
      </c>
      <c r="D17" t="s">
        <v>12</v>
      </c>
      <c r="E17">
        <v>1</v>
      </c>
      <c r="F17">
        <v>57</v>
      </c>
      <c r="G17">
        <v>7.6120000000000001</v>
      </c>
      <c r="H17">
        <v>18</v>
      </c>
      <c r="I17" t="s">
        <v>2</v>
      </c>
      <c r="J17" s="1">
        <v>1.056261574074074E-3</v>
      </c>
      <c r="L17">
        <v>0</v>
      </c>
      <c r="M17">
        <f>SUM($L$2:L17)</f>
        <v>248</v>
      </c>
    </row>
    <row r="18" spans="1:13" x14ac:dyDescent="0.3">
      <c r="A18" t="s">
        <v>52</v>
      </c>
      <c r="B18">
        <v>4</v>
      </c>
      <c r="C18">
        <v>11</v>
      </c>
      <c r="D18" t="s">
        <v>15</v>
      </c>
      <c r="E18">
        <v>4</v>
      </c>
      <c r="F18">
        <v>57</v>
      </c>
      <c r="G18">
        <v>14.65</v>
      </c>
      <c r="H18">
        <v>12</v>
      </c>
      <c r="I18" t="s">
        <v>2</v>
      </c>
      <c r="J18" s="1">
        <v>1.0515625E-3</v>
      </c>
      <c r="L18">
        <v>25</v>
      </c>
      <c r="M18">
        <f>SUM($L$2:L18)</f>
        <v>273</v>
      </c>
    </row>
    <row r="19" spans="1:13" hidden="1" x14ac:dyDescent="0.3">
      <c r="A19" t="s">
        <v>52</v>
      </c>
      <c r="D19" t="s">
        <v>86</v>
      </c>
      <c r="H19">
        <v>6</v>
      </c>
      <c r="J19" s="1"/>
      <c r="L19">
        <v>0</v>
      </c>
    </row>
    <row r="20" spans="1:13" x14ac:dyDescent="0.3">
      <c r="A20" t="s">
        <v>53</v>
      </c>
      <c r="B20">
        <v>1</v>
      </c>
      <c r="C20">
        <v>1</v>
      </c>
      <c r="D20" t="s">
        <v>12</v>
      </c>
      <c r="E20">
        <v>1</v>
      </c>
      <c r="F20">
        <v>63</v>
      </c>
      <c r="G20" s="1">
        <v>5.9320046296296301E-2</v>
      </c>
      <c r="H20">
        <v>25</v>
      </c>
      <c r="I20" t="s">
        <v>2</v>
      </c>
      <c r="J20" s="1">
        <v>9.3016203703703707E-4</v>
      </c>
      <c r="L20">
        <v>25</v>
      </c>
      <c r="M20">
        <f>SUM($L$2:L20)</f>
        <v>298</v>
      </c>
    </row>
    <row r="21" spans="1:13" x14ac:dyDescent="0.3">
      <c r="A21" t="s">
        <v>53</v>
      </c>
      <c r="B21">
        <v>8</v>
      </c>
      <c r="C21">
        <v>11</v>
      </c>
      <c r="D21" t="s">
        <v>15</v>
      </c>
      <c r="E21">
        <v>11</v>
      </c>
      <c r="F21">
        <v>63</v>
      </c>
      <c r="G21">
        <v>54.776000000000003</v>
      </c>
      <c r="H21">
        <v>4</v>
      </c>
      <c r="I21" t="s">
        <v>2</v>
      </c>
      <c r="J21" s="1">
        <v>9.2229166666666675E-4</v>
      </c>
      <c r="L21">
        <v>4</v>
      </c>
      <c r="M21">
        <f>SUM($L$2:L21)</f>
        <v>302</v>
      </c>
    </row>
    <row r="22" spans="1:13" hidden="1" x14ac:dyDescent="0.3">
      <c r="A22" t="s">
        <v>53</v>
      </c>
      <c r="D22" t="s">
        <v>86</v>
      </c>
      <c r="H22">
        <v>6</v>
      </c>
      <c r="J22" s="1"/>
      <c r="L22">
        <v>10</v>
      </c>
    </row>
    <row r="23" spans="1:13" x14ac:dyDescent="0.3">
      <c r="A23" t="s">
        <v>54</v>
      </c>
      <c r="B23">
        <v>6</v>
      </c>
      <c r="C23">
        <v>1</v>
      </c>
      <c r="D23" t="s">
        <v>12</v>
      </c>
      <c r="E23">
        <v>6</v>
      </c>
      <c r="F23">
        <v>78</v>
      </c>
      <c r="G23">
        <v>13.853</v>
      </c>
      <c r="H23">
        <v>8</v>
      </c>
      <c r="I23" t="s">
        <v>2</v>
      </c>
      <c r="J23" s="1">
        <v>8.6306712962962964E-4</v>
      </c>
      <c r="L23">
        <v>6</v>
      </c>
      <c r="M23">
        <f>SUM($L$2:L23)</f>
        <v>318</v>
      </c>
    </row>
    <row r="24" spans="1:13" x14ac:dyDescent="0.3">
      <c r="A24" t="s">
        <v>54</v>
      </c>
      <c r="B24" t="s">
        <v>47</v>
      </c>
      <c r="C24">
        <v>11</v>
      </c>
      <c r="D24" t="s">
        <v>15</v>
      </c>
      <c r="E24">
        <v>16</v>
      </c>
      <c r="F24">
        <v>0</v>
      </c>
      <c r="G24" t="s">
        <v>48</v>
      </c>
      <c r="H24">
        <v>0</v>
      </c>
      <c r="I24" t="s">
        <v>2</v>
      </c>
      <c r="L24">
        <v>18</v>
      </c>
      <c r="M24">
        <f>SUM($L$2:L24)</f>
        <v>336</v>
      </c>
    </row>
    <row r="25" spans="1:13" hidden="1" x14ac:dyDescent="0.3">
      <c r="A25" t="s">
        <v>54</v>
      </c>
      <c r="D25" t="s">
        <v>86</v>
      </c>
      <c r="H25">
        <v>6</v>
      </c>
      <c r="L25">
        <v>0</v>
      </c>
    </row>
    <row r="26" spans="1:13" x14ac:dyDescent="0.3">
      <c r="A26" t="s">
        <v>55</v>
      </c>
      <c r="B26">
        <v>1</v>
      </c>
      <c r="C26">
        <v>1</v>
      </c>
      <c r="D26" t="s">
        <v>12</v>
      </c>
      <c r="E26">
        <v>2</v>
      </c>
      <c r="F26">
        <v>70</v>
      </c>
      <c r="G26" s="1">
        <v>7.3471377314814817E-2</v>
      </c>
      <c r="H26">
        <v>25</v>
      </c>
      <c r="I26" t="s">
        <v>2</v>
      </c>
      <c r="J26" s="1">
        <v>8.7464120370370376E-4</v>
      </c>
      <c r="L26">
        <v>10</v>
      </c>
      <c r="M26">
        <f>SUM($L$2:L26)</f>
        <v>346</v>
      </c>
    </row>
    <row r="27" spans="1:13" x14ac:dyDescent="0.3">
      <c r="A27" t="s">
        <v>55</v>
      </c>
      <c r="B27" t="s">
        <v>47</v>
      </c>
      <c r="C27">
        <v>11</v>
      </c>
      <c r="D27" t="s">
        <v>15</v>
      </c>
      <c r="E27">
        <v>16</v>
      </c>
      <c r="F27">
        <v>51</v>
      </c>
      <c r="G27" t="s">
        <v>48</v>
      </c>
      <c r="H27">
        <v>0</v>
      </c>
      <c r="I27" t="s">
        <v>2</v>
      </c>
      <c r="J27" s="1">
        <v>9.1225694444444449E-4</v>
      </c>
      <c r="L27">
        <v>6</v>
      </c>
      <c r="M27">
        <f>SUM($L$2:L27)</f>
        <v>352</v>
      </c>
    </row>
    <row r="28" spans="1:13" hidden="1" x14ac:dyDescent="0.3">
      <c r="A28" t="s">
        <v>55</v>
      </c>
      <c r="D28" t="s">
        <v>86</v>
      </c>
      <c r="H28">
        <v>6</v>
      </c>
      <c r="J28" s="1"/>
      <c r="L28">
        <v>12</v>
      </c>
    </row>
    <row r="29" spans="1:13" x14ac:dyDescent="0.3">
      <c r="A29" t="s">
        <v>56</v>
      </c>
      <c r="B29">
        <v>1</v>
      </c>
      <c r="C29">
        <v>1</v>
      </c>
      <c r="D29" t="s">
        <v>12</v>
      </c>
      <c r="E29">
        <v>2</v>
      </c>
      <c r="F29">
        <v>66</v>
      </c>
      <c r="G29" s="1">
        <v>6.1345219907407406E-2</v>
      </c>
      <c r="H29">
        <v>25</v>
      </c>
      <c r="I29" t="s">
        <v>2</v>
      </c>
      <c r="J29" s="1">
        <v>9.0018518518518518E-4</v>
      </c>
      <c r="L29">
        <v>7</v>
      </c>
      <c r="M29">
        <f>SUM($L$2:L29)</f>
        <v>371</v>
      </c>
    </row>
    <row r="30" spans="1:13" x14ac:dyDescent="0.3">
      <c r="A30" t="s">
        <v>56</v>
      </c>
      <c r="B30">
        <v>8</v>
      </c>
      <c r="C30">
        <v>11</v>
      </c>
      <c r="D30" t="s">
        <v>15</v>
      </c>
      <c r="E30">
        <v>11</v>
      </c>
      <c r="F30">
        <v>66</v>
      </c>
      <c r="G30">
        <v>59.524000000000001</v>
      </c>
      <c r="H30">
        <v>4</v>
      </c>
      <c r="I30" t="s">
        <v>2</v>
      </c>
      <c r="J30" s="1">
        <v>9.0028935185185177E-4</v>
      </c>
      <c r="L30">
        <v>18</v>
      </c>
      <c r="M30">
        <f>SUM($L$2:L30)</f>
        <v>389</v>
      </c>
    </row>
    <row r="31" spans="1:13" hidden="1" x14ac:dyDescent="0.3">
      <c r="A31" t="s">
        <v>56</v>
      </c>
      <c r="D31" t="s">
        <v>86</v>
      </c>
      <c r="H31">
        <v>6</v>
      </c>
      <c r="J31" s="1"/>
      <c r="L31">
        <v>8</v>
      </c>
    </row>
    <row r="32" spans="1:13" x14ac:dyDescent="0.3">
      <c r="A32" t="s">
        <v>57</v>
      </c>
      <c r="B32">
        <v>5</v>
      </c>
      <c r="C32">
        <v>1</v>
      </c>
      <c r="D32" t="s">
        <v>12</v>
      </c>
      <c r="E32">
        <v>1</v>
      </c>
      <c r="F32">
        <v>71</v>
      </c>
      <c r="G32">
        <v>37.253</v>
      </c>
      <c r="H32">
        <v>10</v>
      </c>
      <c r="I32" t="s">
        <v>2</v>
      </c>
      <c r="J32" s="1">
        <v>7.8378472222222217E-4</v>
      </c>
      <c r="L32">
        <v>8</v>
      </c>
      <c r="M32">
        <f>SUM($L$2:L32)</f>
        <v>405</v>
      </c>
    </row>
    <row r="33" spans="1:13" x14ac:dyDescent="0.3">
      <c r="A33" t="s">
        <v>57</v>
      </c>
      <c r="B33">
        <v>7</v>
      </c>
      <c r="C33">
        <v>11</v>
      </c>
      <c r="D33" t="s">
        <v>15</v>
      </c>
      <c r="E33">
        <v>8</v>
      </c>
      <c r="F33">
        <v>71</v>
      </c>
      <c r="G33">
        <v>54.671999999999997</v>
      </c>
      <c r="H33">
        <v>6</v>
      </c>
      <c r="I33" t="s">
        <v>2</v>
      </c>
      <c r="J33" s="1">
        <v>8.0664351851851849E-4</v>
      </c>
      <c r="L33">
        <v>4</v>
      </c>
      <c r="M33">
        <f>SUM($L$2:L33)</f>
        <v>409</v>
      </c>
    </row>
    <row r="34" spans="1:13" hidden="1" x14ac:dyDescent="0.3">
      <c r="A34" t="s">
        <v>57</v>
      </c>
      <c r="D34" t="s">
        <v>86</v>
      </c>
      <c r="H34">
        <v>6</v>
      </c>
      <c r="J34" s="1"/>
      <c r="L34">
        <v>10</v>
      </c>
    </row>
    <row r="35" spans="1:13" x14ac:dyDescent="0.3">
      <c r="A35" t="s">
        <v>59</v>
      </c>
      <c r="B35">
        <v>2</v>
      </c>
      <c r="C35">
        <v>1</v>
      </c>
      <c r="D35" t="s">
        <v>12</v>
      </c>
      <c r="E35">
        <v>4</v>
      </c>
      <c r="F35">
        <v>52</v>
      </c>
      <c r="G35">
        <v>1.4650000000000001</v>
      </c>
      <c r="H35">
        <v>18</v>
      </c>
      <c r="I35" t="s">
        <v>2</v>
      </c>
      <c r="J35" s="1">
        <v>1.0295370370370369E-3</v>
      </c>
      <c r="L35">
        <v>0</v>
      </c>
      <c r="M35">
        <f>SUM($L$2:L35)</f>
        <v>419</v>
      </c>
    </row>
    <row r="36" spans="1:13" x14ac:dyDescent="0.3">
      <c r="A36" t="s">
        <v>59</v>
      </c>
      <c r="B36">
        <v>17</v>
      </c>
      <c r="C36">
        <v>11</v>
      </c>
      <c r="D36" t="s">
        <v>15</v>
      </c>
      <c r="E36">
        <v>20</v>
      </c>
      <c r="F36">
        <v>50</v>
      </c>
      <c r="G36" t="s">
        <v>44</v>
      </c>
      <c r="H36">
        <v>0</v>
      </c>
      <c r="I36" t="s">
        <v>2</v>
      </c>
      <c r="J36" s="1">
        <v>1.0382754629629628E-3</v>
      </c>
      <c r="L36">
        <v>18</v>
      </c>
      <c r="M36">
        <f>SUM($L$2:L36)</f>
        <v>437</v>
      </c>
    </row>
    <row r="37" spans="1:13" hidden="1" x14ac:dyDescent="0.3">
      <c r="A37" t="s">
        <v>59</v>
      </c>
      <c r="D37" t="s">
        <v>86</v>
      </c>
      <c r="H37">
        <v>6</v>
      </c>
      <c r="J37" s="1"/>
      <c r="L37">
        <v>1</v>
      </c>
    </row>
    <row r="38" spans="1:13" x14ac:dyDescent="0.3">
      <c r="A38" t="s">
        <v>61</v>
      </c>
      <c r="B38">
        <v>5</v>
      </c>
      <c r="C38">
        <v>1</v>
      </c>
      <c r="D38" t="s">
        <v>12</v>
      </c>
      <c r="E38">
        <v>3</v>
      </c>
      <c r="F38">
        <v>70</v>
      </c>
      <c r="G38">
        <v>21.349</v>
      </c>
      <c r="H38">
        <v>10</v>
      </c>
      <c r="I38" t="s">
        <v>2</v>
      </c>
      <c r="J38" s="1">
        <v>9.3643518518518522E-4</v>
      </c>
      <c r="L38">
        <v>15</v>
      </c>
      <c r="M38">
        <f>SUM($L$2:L38)</f>
        <v>453</v>
      </c>
    </row>
    <row r="39" spans="1:13" x14ac:dyDescent="0.3">
      <c r="A39" t="s">
        <v>61</v>
      </c>
      <c r="B39">
        <v>7</v>
      </c>
      <c r="C39">
        <v>11</v>
      </c>
      <c r="D39" t="s">
        <v>15</v>
      </c>
      <c r="E39">
        <v>16</v>
      </c>
      <c r="F39">
        <v>70</v>
      </c>
      <c r="G39">
        <v>39.792000000000002</v>
      </c>
      <c r="H39">
        <v>6</v>
      </c>
      <c r="I39" t="s">
        <v>2</v>
      </c>
      <c r="J39" s="1">
        <v>9.386111111111112E-4</v>
      </c>
      <c r="L39">
        <v>6</v>
      </c>
      <c r="M39">
        <f>SUM($L$2:L39)</f>
        <v>459</v>
      </c>
    </row>
    <row r="40" spans="1:13" hidden="1" x14ac:dyDescent="0.3">
      <c r="A40" t="s">
        <v>61</v>
      </c>
      <c r="D40" t="s">
        <v>86</v>
      </c>
      <c r="H40">
        <v>6</v>
      </c>
      <c r="J40" s="1"/>
      <c r="L40">
        <v>8</v>
      </c>
    </row>
    <row r="41" spans="1:13" x14ac:dyDescent="0.3">
      <c r="A41" t="s">
        <v>62</v>
      </c>
      <c r="B41">
        <v>4</v>
      </c>
      <c r="C41">
        <v>1</v>
      </c>
      <c r="D41" t="s">
        <v>12</v>
      </c>
      <c r="E41">
        <v>11</v>
      </c>
      <c r="F41">
        <v>44</v>
      </c>
      <c r="G41">
        <v>9.2260000000000009</v>
      </c>
      <c r="H41">
        <v>12</v>
      </c>
      <c r="I41" t="s">
        <v>2</v>
      </c>
      <c r="J41" s="1">
        <v>1.2283333333333332E-3</v>
      </c>
      <c r="L41">
        <v>0</v>
      </c>
      <c r="M41">
        <f>SUM($L$2:L41)</f>
        <v>467</v>
      </c>
    </row>
    <row r="42" spans="1:13" x14ac:dyDescent="0.3">
      <c r="A42" t="s">
        <v>62</v>
      </c>
      <c r="B42">
        <v>7</v>
      </c>
      <c r="C42">
        <v>11</v>
      </c>
      <c r="D42" t="s">
        <v>15</v>
      </c>
      <c r="E42">
        <v>2</v>
      </c>
      <c r="F42">
        <v>44</v>
      </c>
      <c r="G42">
        <v>3.1949999999999998</v>
      </c>
      <c r="H42">
        <v>7</v>
      </c>
      <c r="I42" t="s">
        <v>14</v>
      </c>
      <c r="J42" s="1">
        <v>1.2118171296296295E-3</v>
      </c>
      <c r="L42">
        <v>26</v>
      </c>
      <c r="M42">
        <f>SUM($L$2:L42)</f>
        <v>493</v>
      </c>
    </row>
    <row r="43" spans="1:13" hidden="1" x14ac:dyDescent="0.3">
      <c r="A43" t="s">
        <v>62</v>
      </c>
      <c r="D43" t="s">
        <v>86</v>
      </c>
      <c r="H43">
        <v>6</v>
      </c>
      <c r="J43" s="1"/>
      <c r="L43">
        <v>0</v>
      </c>
    </row>
    <row r="44" spans="1:13" x14ac:dyDescent="0.3">
      <c r="A44" t="s">
        <v>64</v>
      </c>
      <c r="B44">
        <v>2</v>
      </c>
      <c r="C44">
        <v>1</v>
      </c>
      <c r="D44" t="s">
        <v>12</v>
      </c>
      <c r="E44">
        <v>2</v>
      </c>
      <c r="F44">
        <v>72</v>
      </c>
      <c r="G44">
        <v>22.896000000000001</v>
      </c>
      <c r="H44">
        <v>18</v>
      </c>
      <c r="I44" t="s">
        <v>2</v>
      </c>
      <c r="J44" s="1">
        <v>8.6518518518518509E-4</v>
      </c>
      <c r="L44">
        <v>10</v>
      </c>
      <c r="M44">
        <f>SUM($L$2:L44)</f>
        <v>503</v>
      </c>
    </row>
    <row r="45" spans="1:13" x14ac:dyDescent="0.3">
      <c r="A45" t="s">
        <v>64</v>
      </c>
      <c r="B45">
        <v>6</v>
      </c>
      <c r="C45">
        <v>11</v>
      </c>
      <c r="D45" t="s">
        <v>15</v>
      </c>
      <c r="E45">
        <v>5</v>
      </c>
      <c r="F45">
        <v>72</v>
      </c>
      <c r="G45">
        <v>39.542000000000002</v>
      </c>
      <c r="H45">
        <v>8</v>
      </c>
      <c r="I45" t="s">
        <v>2</v>
      </c>
      <c r="J45" s="1">
        <v>8.6327546296296304E-4</v>
      </c>
      <c r="L45">
        <v>1</v>
      </c>
      <c r="M45">
        <f>SUM($L$2:L45)</f>
        <v>504</v>
      </c>
    </row>
    <row r="46" spans="1:13" hidden="1" x14ac:dyDescent="0.3">
      <c r="A46" t="s">
        <v>64</v>
      </c>
      <c r="D46" t="s">
        <v>86</v>
      </c>
      <c r="H46">
        <v>6</v>
      </c>
      <c r="J46" s="1"/>
      <c r="L46">
        <v>25</v>
      </c>
    </row>
    <row r="47" spans="1:13" x14ac:dyDescent="0.3">
      <c r="A47" t="s">
        <v>65</v>
      </c>
      <c r="B47">
        <v>6</v>
      </c>
      <c r="C47">
        <v>1</v>
      </c>
      <c r="D47" t="s">
        <v>12</v>
      </c>
      <c r="E47">
        <v>7</v>
      </c>
      <c r="F47">
        <v>53</v>
      </c>
      <c r="G47">
        <v>37.932000000000002</v>
      </c>
      <c r="H47">
        <v>8</v>
      </c>
      <c r="I47" t="s">
        <v>2</v>
      </c>
      <c r="J47" s="1">
        <v>9.4612268518518526E-4</v>
      </c>
      <c r="L47">
        <v>0</v>
      </c>
      <c r="M47">
        <f>SUM($L$2:L47)</f>
        <v>529</v>
      </c>
    </row>
    <row r="48" spans="1:13" x14ac:dyDescent="0.3">
      <c r="A48" t="s">
        <v>65</v>
      </c>
      <c r="B48">
        <v>8</v>
      </c>
      <c r="C48">
        <v>11</v>
      </c>
      <c r="D48" t="s">
        <v>15</v>
      </c>
      <c r="E48">
        <v>8</v>
      </c>
      <c r="F48">
        <v>53</v>
      </c>
      <c r="G48">
        <v>54.148000000000003</v>
      </c>
      <c r="H48">
        <v>4</v>
      </c>
      <c r="I48" t="s">
        <v>2</v>
      </c>
      <c r="J48" s="1">
        <v>9.6031250000000001E-4</v>
      </c>
      <c r="L48">
        <v>8</v>
      </c>
      <c r="M48">
        <f>SUM($L$2:L48)</f>
        <v>537</v>
      </c>
    </row>
    <row r="49" spans="1:13" hidden="1" x14ac:dyDescent="0.3">
      <c r="A49" t="s">
        <v>65</v>
      </c>
      <c r="D49" t="s">
        <v>86</v>
      </c>
      <c r="H49">
        <v>6</v>
      </c>
      <c r="J49" s="1"/>
      <c r="L49">
        <v>0</v>
      </c>
    </row>
    <row r="50" spans="1:13" x14ac:dyDescent="0.3">
      <c r="A50" t="s">
        <v>67</v>
      </c>
      <c r="B50">
        <v>5</v>
      </c>
      <c r="C50">
        <v>1</v>
      </c>
      <c r="D50" t="s">
        <v>12</v>
      </c>
      <c r="E50">
        <v>6</v>
      </c>
      <c r="F50">
        <v>51</v>
      </c>
      <c r="G50">
        <v>77.097999999999999</v>
      </c>
      <c r="H50">
        <v>10</v>
      </c>
      <c r="I50" t="s">
        <v>2</v>
      </c>
      <c r="J50" s="1">
        <v>1.2360879629629629E-3</v>
      </c>
    </row>
    <row r="51" spans="1:13" x14ac:dyDescent="0.3">
      <c r="A51" t="s">
        <v>67</v>
      </c>
      <c r="B51">
        <v>17</v>
      </c>
      <c r="C51">
        <v>11</v>
      </c>
      <c r="D51" t="s">
        <v>15</v>
      </c>
      <c r="E51">
        <v>4</v>
      </c>
      <c r="F51">
        <v>49</v>
      </c>
      <c r="G51" t="s">
        <v>48</v>
      </c>
      <c r="H51">
        <v>0</v>
      </c>
      <c r="I51" t="s">
        <v>2</v>
      </c>
      <c r="J51" s="1">
        <v>1.2385763888888889E-3</v>
      </c>
      <c r="M51">
        <f>SUM($L$2:L51)</f>
        <v>537</v>
      </c>
    </row>
    <row r="52" spans="1:13" hidden="1" x14ac:dyDescent="0.3">
      <c r="A52" t="s">
        <v>67</v>
      </c>
      <c r="D52" t="s">
        <v>86</v>
      </c>
      <c r="H52">
        <v>6</v>
      </c>
      <c r="J52" s="1"/>
    </row>
    <row r="53" spans="1:13" x14ac:dyDescent="0.3">
      <c r="A53" t="s">
        <v>68</v>
      </c>
      <c r="B53">
        <v>2</v>
      </c>
      <c r="C53">
        <v>1</v>
      </c>
      <c r="D53" t="s">
        <v>12</v>
      </c>
      <c r="E53">
        <v>2</v>
      </c>
      <c r="F53">
        <v>62</v>
      </c>
      <c r="G53">
        <v>20.945</v>
      </c>
      <c r="H53">
        <v>18</v>
      </c>
      <c r="I53" t="s">
        <v>2</v>
      </c>
      <c r="J53" s="1">
        <v>1.1107291666666665E-3</v>
      </c>
      <c r="M53">
        <f>SUM($L$2:L53)</f>
        <v>537</v>
      </c>
    </row>
    <row r="54" spans="1:13" x14ac:dyDescent="0.3">
      <c r="A54" t="s">
        <v>68</v>
      </c>
      <c r="B54">
        <v>10</v>
      </c>
      <c r="C54">
        <v>11</v>
      </c>
      <c r="D54" t="s">
        <v>15</v>
      </c>
      <c r="E54">
        <v>13</v>
      </c>
      <c r="F54">
        <v>61</v>
      </c>
      <c r="G54" t="s">
        <v>30</v>
      </c>
      <c r="H54">
        <v>1</v>
      </c>
      <c r="I54" t="s">
        <v>2</v>
      </c>
      <c r="J54" s="1">
        <v>1.1282060185185186E-3</v>
      </c>
      <c r="M54">
        <f>SUM($L$2:L54)</f>
        <v>537</v>
      </c>
    </row>
    <row r="55" spans="1:13" hidden="1" x14ac:dyDescent="0.3">
      <c r="A55" t="s">
        <v>68</v>
      </c>
      <c r="D55" t="s">
        <v>86</v>
      </c>
      <c r="H55">
        <v>6</v>
      </c>
      <c r="J55" s="1"/>
    </row>
    <row r="56" spans="1:13" x14ac:dyDescent="0.3">
      <c r="A56" t="s">
        <v>69</v>
      </c>
      <c r="B56">
        <v>3</v>
      </c>
      <c r="C56">
        <v>1</v>
      </c>
      <c r="D56" t="s">
        <v>12</v>
      </c>
      <c r="E56">
        <v>2</v>
      </c>
      <c r="F56">
        <v>56</v>
      </c>
      <c r="G56">
        <v>19.411999999999999</v>
      </c>
      <c r="H56">
        <v>15</v>
      </c>
      <c r="I56" t="s">
        <v>2</v>
      </c>
      <c r="J56" s="1">
        <v>1.1356134259259258E-3</v>
      </c>
      <c r="M56">
        <f>SUM($L$2:L56)</f>
        <v>537</v>
      </c>
    </row>
    <row r="57" spans="1:13" x14ac:dyDescent="0.3">
      <c r="A57" t="s">
        <v>69</v>
      </c>
      <c r="B57">
        <v>7</v>
      </c>
      <c r="C57">
        <v>11</v>
      </c>
      <c r="D57" t="s">
        <v>15</v>
      </c>
      <c r="E57">
        <v>9</v>
      </c>
      <c r="F57">
        <v>56</v>
      </c>
      <c r="G57">
        <v>59.072000000000003</v>
      </c>
      <c r="H57">
        <v>6</v>
      </c>
      <c r="I57" t="s">
        <v>2</v>
      </c>
      <c r="J57" s="1">
        <v>1.1402083333333334E-3</v>
      </c>
      <c r="M57">
        <f>SUM($L$2:L57)</f>
        <v>537</v>
      </c>
    </row>
    <row r="58" spans="1:13" hidden="1" x14ac:dyDescent="0.3">
      <c r="A58" t="s">
        <v>69</v>
      </c>
      <c r="D58" t="s">
        <v>86</v>
      </c>
      <c r="H58">
        <v>6</v>
      </c>
      <c r="J58" s="1"/>
    </row>
    <row r="59" spans="1:13" x14ac:dyDescent="0.3">
      <c r="A59" t="s">
        <v>71</v>
      </c>
      <c r="B59">
        <v>6</v>
      </c>
      <c r="C59">
        <v>1</v>
      </c>
      <c r="D59" t="s">
        <v>12</v>
      </c>
      <c r="E59">
        <v>2</v>
      </c>
      <c r="F59">
        <v>71</v>
      </c>
      <c r="G59">
        <v>59.558</v>
      </c>
      <c r="H59">
        <v>8</v>
      </c>
      <c r="I59" t="s">
        <v>2</v>
      </c>
      <c r="J59" s="1">
        <v>9.3601851851851854E-4</v>
      </c>
      <c r="M59">
        <f>SUM($L$2:L59)</f>
        <v>537</v>
      </c>
    </row>
    <row r="60" spans="1:13" x14ac:dyDescent="0.3">
      <c r="A60" t="s">
        <v>71</v>
      </c>
      <c r="B60">
        <v>17</v>
      </c>
      <c r="C60">
        <v>11</v>
      </c>
      <c r="D60" t="s">
        <v>15</v>
      </c>
      <c r="E60">
        <v>18</v>
      </c>
      <c r="F60">
        <v>70</v>
      </c>
      <c r="G60" t="s">
        <v>30</v>
      </c>
      <c r="H60">
        <v>0</v>
      </c>
      <c r="I60" t="s">
        <v>2</v>
      </c>
      <c r="J60" s="1">
        <v>9.1677083333333335E-4</v>
      </c>
      <c r="M60">
        <f>SUM($L$2:L60)</f>
        <v>537</v>
      </c>
    </row>
    <row r="61" spans="1:13" hidden="1" x14ac:dyDescent="0.3">
      <c r="A61" t="s">
        <v>71</v>
      </c>
      <c r="D61" t="s">
        <v>86</v>
      </c>
      <c r="H61">
        <v>6</v>
      </c>
      <c r="J61" s="1"/>
    </row>
    <row r="62" spans="1:13" x14ac:dyDescent="0.3">
      <c r="A62" t="s">
        <v>72</v>
      </c>
      <c r="B62">
        <v>1</v>
      </c>
      <c r="C62">
        <v>1</v>
      </c>
      <c r="D62" t="s">
        <v>12</v>
      </c>
      <c r="E62">
        <v>17</v>
      </c>
      <c r="F62">
        <v>69</v>
      </c>
      <c r="G62" s="1">
        <v>8.8129976851851852E-2</v>
      </c>
      <c r="H62">
        <v>26</v>
      </c>
      <c r="I62" t="s">
        <v>14</v>
      </c>
      <c r="J62" s="1">
        <v>9.3138888888888893E-4</v>
      </c>
      <c r="M62">
        <f>SUM($L$2:L62)</f>
        <v>537</v>
      </c>
    </row>
    <row r="63" spans="1:13" x14ac:dyDescent="0.3">
      <c r="A63" t="s">
        <v>72</v>
      </c>
      <c r="B63">
        <v>11</v>
      </c>
      <c r="C63">
        <v>11</v>
      </c>
      <c r="D63" t="s">
        <v>15</v>
      </c>
      <c r="E63">
        <v>12</v>
      </c>
      <c r="F63">
        <v>69</v>
      </c>
      <c r="G63">
        <v>51.530999999999999</v>
      </c>
      <c r="H63">
        <v>0</v>
      </c>
      <c r="I63" t="s">
        <v>2</v>
      </c>
      <c r="J63" s="1">
        <v>9.5072916666666667E-4</v>
      </c>
      <c r="M63">
        <f>SUM($L$2:L63)</f>
        <v>537</v>
      </c>
    </row>
    <row r="64" spans="1:13" hidden="1" x14ac:dyDescent="0.3">
      <c r="A64" t="s">
        <v>72</v>
      </c>
      <c r="D64" t="s">
        <v>86</v>
      </c>
      <c r="H64">
        <v>6</v>
      </c>
      <c r="J64" s="1"/>
    </row>
    <row r="65" spans="1:14" x14ac:dyDescent="0.3">
      <c r="A65" t="s">
        <v>74</v>
      </c>
      <c r="B65">
        <v>5</v>
      </c>
      <c r="C65">
        <v>1</v>
      </c>
      <c r="D65" t="s">
        <v>12</v>
      </c>
      <c r="E65">
        <v>5</v>
      </c>
      <c r="F65">
        <v>50</v>
      </c>
      <c r="G65">
        <v>16.582000000000001</v>
      </c>
      <c r="H65">
        <v>10</v>
      </c>
      <c r="I65" t="s">
        <v>2</v>
      </c>
      <c r="J65" s="1">
        <v>1.1139814814814814E-3</v>
      </c>
      <c r="M65">
        <f>SUM($L$2:L65)</f>
        <v>537</v>
      </c>
    </row>
    <row r="66" spans="1:14" x14ac:dyDescent="0.3">
      <c r="A66" t="s">
        <v>74</v>
      </c>
      <c r="B66">
        <v>10</v>
      </c>
      <c r="C66">
        <v>11</v>
      </c>
      <c r="D66" t="s">
        <v>15</v>
      </c>
      <c r="E66">
        <v>15</v>
      </c>
      <c r="F66">
        <v>50</v>
      </c>
      <c r="G66">
        <v>63.113999999999997</v>
      </c>
      <c r="H66">
        <v>1</v>
      </c>
      <c r="I66" t="s">
        <v>2</v>
      </c>
      <c r="J66" s="1">
        <v>1.1148842592592593E-3</v>
      </c>
      <c r="M66">
        <f>SUM($L$2:L66)</f>
        <v>537</v>
      </c>
    </row>
    <row r="67" spans="1:14" hidden="1" x14ac:dyDescent="0.3">
      <c r="A67" t="s">
        <v>74</v>
      </c>
      <c r="D67" t="s">
        <v>86</v>
      </c>
      <c r="H67">
        <v>6</v>
      </c>
      <c r="J67" s="1"/>
    </row>
    <row r="68" spans="1:14" x14ac:dyDescent="0.3">
      <c r="A68" t="s">
        <v>75</v>
      </c>
      <c r="B68">
        <v>1</v>
      </c>
      <c r="C68">
        <v>1</v>
      </c>
      <c r="D68" t="s">
        <v>12</v>
      </c>
      <c r="E68">
        <v>2</v>
      </c>
      <c r="F68">
        <v>57</v>
      </c>
      <c r="G68" s="1">
        <v>6.3256053240740739E-2</v>
      </c>
      <c r="H68">
        <v>25</v>
      </c>
      <c r="I68" t="s">
        <v>2</v>
      </c>
      <c r="J68" s="1">
        <v>9.5954861111111111E-4</v>
      </c>
      <c r="M68">
        <f>SUM($L$2:L68)</f>
        <v>537</v>
      </c>
    </row>
    <row r="69" spans="1:14" x14ac:dyDescent="0.3">
      <c r="A69" t="s">
        <v>75</v>
      </c>
      <c r="B69" t="s">
        <v>47</v>
      </c>
      <c r="C69">
        <v>11</v>
      </c>
      <c r="D69" t="s">
        <v>15</v>
      </c>
      <c r="E69">
        <v>9</v>
      </c>
      <c r="F69">
        <v>38</v>
      </c>
      <c r="G69" t="s">
        <v>48</v>
      </c>
      <c r="H69">
        <v>0</v>
      </c>
      <c r="I69" t="s">
        <v>2</v>
      </c>
      <c r="J69" s="1">
        <v>9.8712962962962968E-4</v>
      </c>
      <c r="M69">
        <f>SUM($L$2:L69)</f>
        <v>537</v>
      </c>
    </row>
    <row r="70" spans="1:14" hidden="1" x14ac:dyDescent="0.3">
      <c r="A70" t="s">
        <v>75</v>
      </c>
      <c r="D70" t="s">
        <v>86</v>
      </c>
      <c r="H70">
        <v>6</v>
      </c>
      <c r="J70" s="1"/>
    </row>
    <row r="71" spans="1:14" x14ac:dyDescent="0.3">
      <c r="A71" t="s">
        <v>76</v>
      </c>
      <c r="B71">
        <v>6</v>
      </c>
      <c r="C71">
        <v>1</v>
      </c>
      <c r="D71" t="s">
        <v>12</v>
      </c>
      <c r="E71">
        <v>4</v>
      </c>
      <c r="F71">
        <v>58</v>
      </c>
      <c r="G71">
        <v>49.847000000000001</v>
      </c>
      <c r="H71">
        <v>8</v>
      </c>
      <c r="I71" t="s">
        <v>2</v>
      </c>
      <c r="J71" s="1">
        <v>1.0157986111111112E-3</v>
      </c>
      <c r="M71">
        <f>SUM($L$2:L71)</f>
        <v>537</v>
      </c>
    </row>
    <row r="72" spans="1:14" x14ac:dyDescent="0.3">
      <c r="A72" t="s">
        <v>76</v>
      </c>
      <c r="B72" t="s">
        <v>47</v>
      </c>
      <c r="C72">
        <v>11</v>
      </c>
      <c r="D72" t="s">
        <v>15</v>
      </c>
      <c r="E72">
        <v>10</v>
      </c>
      <c r="F72">
        <v>0</v>
      </c>
      <c r="G72" t="s">
        <v>48</v>
      </c>
      <c r="H72">
        <v>0</v>
      </c>
      <c r="I72" t="s">
        <v>2</v>
      </c>
      <c r="M72">
        <f>SUM($L$2:L72)</f>
        <v>537</v>
      </c>
    </row>
    <row r="73" spans="1:14" hidden="1" x14ac:dyDescent="0.3">
      <c r="A73" t="s">
        <v>76</v>
      </c>
      <c r="D73" t="s">
        <v>86</v>
      </c>
      <c r="H73">
        <v>6</v>
      </c>
      <c r="N73">
        <f>SUM($H$2:H73)</f>
        <v>681</v>
      </c>
    </row>
  </sheetData>
  <autoFilter ref="A1:N73" xr:uid="{BA836D42-6F7C-4376-B842-7908033BC2D6}">
    <filterColumn colId="3">
      <filters>
        <filter val="Max Verstappen"/>
        <filter val="Sergio Perez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ff30e4-b7de-4ca2-bcdc-bc62190464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E1A501BF2E54E9E09F9FB15D938FD" ma:contentTypeVersion="6" ma:contentTypeDescription="Create a new document." ma:contentTypeScope="" ma:versionID="334bbcd250f33f7af7fbca6c00e0b1c4">
  <xsd:schema xmlns:xsd="http://www.w3.org/2001/XMLSchema" xmlns:xs="http://www.w3.org/2001/XMLSchema" xmlns:p="http://schemas.microsoft.com/office/2006/metadata/properties" xmlns:ns3="edff30e4-b7de-4ca2-bcdc-bc62190464f7" targetNamespace="http://schemas.microsoft.com/office/2006/metadata/properties" ma:root="true" ma:fieldsID="2fae66cef34cf5cff6fe6489b6bc1f1a" ns3:_="">
    <xsd:import namespace="edff30e4-b7de-4ca2-bcdc-bc62190464f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f30e4-b7de-4ca2-bcdc-bc62190464f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08D3DF-B619-46AF-8B4F-7C39037EFFAA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edff30e4-b7de-4ca2-bcdc-bc62190464f7"/>
  </ds:schemaRefs>
</ds:datastoreItem>
</file>

<file path=customXml/itemProps2.xml><?xml version="1.0" encoding="utf-8"?>
<ds:datastoreItem xmlns:ds="http://schemas.openxmlformats.org/officeDocument/2006/customXml" ds:itemID="{38D02A0F-5E7D-4425-8A88-7AAA959CE2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f30e4-b7de-4ca2-bcdc-bc6219046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A0CE1-F8D3-4E03-B6EC-8B43AB74BB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Formula1_2023season_raceResults</vt:lpstr>
      <vt:lpstr>Formula1_2024season_raceResults</vt:lpstr>
      <vt:lpstr>Sprint Results</vt:lpstr>
      <vt:lpstr>Quarters Points</vt:lpstr>
      <vt:lpstr>Big 4 Stats</vt:lpstr>
      <vt:lpstr>RedBull</vt:lpstr>
      <vt:lpstr>Checo</vt:lpstr>
      <vt:lpstr>Max vs Checo</vt:lpstr>
      <vt:lpstr>Max vs Checo vs 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Shade Onayiga</dc:creator>
  <cp:lastModifiedBy>Abiola Obiwole</cp:lastModifiedBy>
  <dcterms:created xsi:type="dcterms:W3CDTF">2025-01-05T00:30:49Z</dcterms:created>
  <dcterms:modified xsi:type="dcterms:W3CDTF">2025-01-06T20:57:34Z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0x010100242E1A501BF2E54E9E09F9FB15D938FD</vt:lpwstr>
  </property>
</Properties>
</file>