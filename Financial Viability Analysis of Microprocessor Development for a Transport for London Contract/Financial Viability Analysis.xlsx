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universityofwestminster-my.sharepoint.com/personal/w2012864_westminster_ac_uk/Documents/BA Coursework/Problem_2_Decision_Analysis/"/>
    </mc:Choice>
  </mc:AlternateContent>
  <xr:revisionPtr revIDLastSave="195" documentId="11_A96DA5DFC542331E1DFE21B75CB8B6FF3837CFB0" xr6:coauthVersionLast="47" xr6:coauthVersionMax="47" xr10:uidLastSave="{49EE9164-7FA8-4D11-8E37-21A99B3DC039}"/>
  <bookViews>
    <workbookView xWindow="210" yWindow="60" windowWidth="9260" windowHeight="10690" firstSheet="3" activeTab="3" xr2:uid="{00000000-000D-0000-FFFF-FFFF00000000}"/>
  </bookViews>
  <sheets>
    <sheet name="Inputs &amp; Decision Tree" sheetId="1" r:id="rId1"/>
    <sheet name="Indiference_Analysis" sheetId="2" r:id="rId2"/>
    <sheet name="Perfect_Information_1" sheetId="4" r:id="rId3"/>
    <sheet name="Perfect_Information_2)" sheetId="6" r:id="rId4"/>
    <sheet name="Strategy_Summary" sheetId="5" r:id="rId5"/>
  </sheets>
  <definedNames>
    <definedName name="solver_adj" localSheetId="1" hidden="1">Indiference_Analysis!$B$9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Indiference_Analysis!$B$9</definedName>
    <definedName name="solver_lhs2" localSheetId="1" hidden="1">Indiference_Analysis!$B$9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Indiference_Analysis!$B$29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hs1" localSheetId="1" hidden="1">1</definedName>
    <definedName name="solver_rhs2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6" l="1"/>
  <c r="B12" i="6"/>
  <c r="B11" i="6"/>
  <c r="B17" i="6"/>
  <c r="B16" i="6"/>
  <c r="B31" i="6"/>
  <c r="B21" i="6"/>
  <c r="B10" i="6"/>
  <c r="B7" i="6"/>
  <c r="B6" i="6"/>
  <c r="B20" i="6" s="1"/>
  <c r="B25" i="6" s="1"/>
  <c r="B28" i="6" s="1"/>
  <c r="B5" i="6"/>
  <c r="B4" i="6"/>
  <c r="B3" i="6"/>
  <c r="B33" i="2"/>
  <c r="B34" i="4"/>
  <c r="B33" i="1"/>
  <c r="B10" i="4"/>
  <c r="B31" i="4"/>
  <c r="B21" i="4"/>
  <c r="B17" i="4"/>
  <c r="B12" i="4"/>
  <c r="B11" i="4"/>
  <c r="B7" i="4"/>
  <c r="B6" i="4"/>
  <c r="B20" i="4" s="1"/>
  <c r="B5" i="4"/>
  <c r="B4" i="4"/>
  <c r="B3" i="4"/>
  <c r="B29" i="2"/>
  <c r="B10" i="2"/>
  <c r="B11" i="2"/>
  <c r="B15" i="2"/>
  <c r="B30" i="2"/>
  <c r="B20" i="2"/>
  <c r="B16" i="2"/>
  <c r="B6" i="2"/>
  <c r="B5" i="2"/>
  <c r="B19" i="2" s="1"/>
  <c r="B4" i="2"/>
  <c r="B3" i="2"/>
  <c r="B2" i="2"/>
  <c r="B32" i="1"/>
  <c r="B30" i="1"/>
  <c r="B29" i="1"/>
  <c r="B27" i="1"/>
  <c r="B26" i="1"/>
  <c r="B24" i="1"/>
  <c r="B23" i="1"/>
  <c r="B20" i="1"/>
  <c r="B19" i="1"/>
  <c r="B16" i="1"/>
  <c r="B15" i="1"/>
  <c r="B11" i="1"/>
  <c r="B10" i="1"/>
  <c r="B9" i="1"/>
  <c r="B6" i="1"/>
  <c r="B5" i="1"/>
  <c r="B4" i="1"/>
  <c r="B3" i="1"/>
  <c r="B2" i="1"/>
  <c r="B24" i="6" l="1"/>
  <c r="B27" i="6" s="1"/>
  <c r="B30" i="6" s="1"/>
  <c r="B25" i="4"/>
  <c r="B28" i="4" s="1"/>
  <c r="B16" i="4"/>
  <c r="B24" i="4" s="1"/>
  <c r="B27" i="4" s="1"/>
  <c r="B30" i="4" s="1"/>
  <c r="B33" i="4" s="1"/>
  <c r="B24" i="2"/>
  <c r="B27" i="2" s="1"/>
  <c r="B23" i="2"/>
  <c r="B26" i="2" s="1"/>
  <c r="B34" i="6" l="1"/>
  <c r="B33" i="6"/>
  <c r="B32" i="2"/>
</calcChain>
</file>

<file path=xl/sharedStrings.xml><?xml version="1.0" encoding="utf-8"?>
<sst xmlns="http://schemas.openxmlformats.org/spreadsheetml/2006/main" count="108" uniqueCount="30">
  <si>
    <t>Inputs</t>
  </si>
  <si>
    <t>R&amp;D Investment</t>
  </si>
  <si>
    <t>Proposal Cost (R&amp;D Success)</t>
  </si>
  <si>
    <t>Proposal Cost (R&amp;D Fail)</t>
  </si>
  <si>
    <t>Contract Revenue</t>
  </si>
  <si>
    <t>Production Cost (if Win)</t>
  </si>
  <si>
    <t>Probabilities</t>
  </si>
  <si>
    <t>p1 (Prob R&amp;D Success)</t>
  </si>
  <si>
    <t>p2 (Prob Win Contract if R&amp;D Success</t>
  </si>
  <si>
    <t>p3 (Prob Win Contract if R&amp;D Fail)</t>
  </si>
  <si>
    <t>Outcomes</t>
  </si>
  <si>
    <t>R&amp;D Success Path:</t>
  </si>
  <si>
    <t>Win Contract (after R&amp;D Success):</t>
  </si>
  <si>
    <t>Lose Contract (after R&amp;D Success):</t>
  </si>
  <si>
    <t>R&amp;D Fail Path:</t>
  </si>
  <si>
    <t>Win Contract (after R&amp;D Fail):</t>
  </si>
  <si>
    <t>Lose Contract (after R&amp;D Fail):</t>
  </si>
  <si>
    <t>EMV Calculations:</t>
  </si>
  <si>
    <t>EMV if Prepare Proposal (R&amp;D Success):</t>
  </si>
  <si>
    <t>EMV if Prepare Proposal (R&amp;D Fail):</t>
  </si>
  <si>
    <t>EMV if R&amp;D is Successful (Overall):</t>
  </si>
  <si>
    <t>EMV if R&amp;D is Unsuccessful (Overall):</t>
  </si>
  <si>
    <t>Overall EMV if Continue R&amp;D:</t>
  </si>
  <si>
    <t>Overall EMV if Do Not Continue R&amp;D:</t>
  </si>
  <si>
    <t>Optimal Decision:</t>
  </si>
  <si>
    <t>Max EMV:</t>
  </si>
  <si>
    <t>EMV without Guarantee (Current Optimal EMV)</t>
  </si>
  <si>
    <t>EMV with Guarantee (Current Optimal EMV)</t>
  </si>
  <si>
    <t>Value of Perfect Information (VPI) = (Optimal EMV with Guarantee) - (Optimal EMV without Guarantee)</t>
  </si>
  <si>
    <t>VPI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</si>
</sst>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opLeftCell="A15" zoomScale="80" zoomScaleNormal="80" workbookViewId="0">
      <selection activeCell="B34" sqref="B34"/>
    </sheetView>
  </sheetViews>
  <sheetFormatPr defaultRowHeight="14.5" x14ac:dyDescent="0.35"/>
  <cols>
    <col min="1" max="1" width="34.1796875" bestFit="1" customWidth="1"/>
  </cols>
  <sheetData>
    <row r="1" spans="1:2" x14ac:dyDescent="0.35">
      <c r="A1" s="1" t="s">
        <v>0</v>
      </c>
    </row>
    <row r="2" spans="1:2" x14ac:dyDescent="0.35">
      <c r="A2" t="s">
        <v>1</v>
      </c>
      <c r="B2">
        <f>-200000</f>
        <v>-200000</v>
      </c>
    </row>
    <row r="3" spans="1:2" x14ac:dyDescent="0.35">
      <c r="A3" t="s">
        <v>2</v>
      </c>
      <c r="B3">
        <f>-50000</f>
        <v>-50000</v>
      </c>
    </row>
    <row r="4" spans="1:2" x14ac:dyDescent="0.35">
      <c r="A4" t="s">
        <v>3</v>
      </c>
      <c r="B4">
        <f>-40000</f>
        <v>-40000</v>
      </c>
    </row>
    <row r="5" spans="1:2" x14ac:dyDescent="0.35">
      <c r="A5" t="s">
        <v>4</v>
      </c>
      <c r="B5">
        <f>1000000</f>
        <v>1000000</v>
      </c>
    </row>
    <row r="6" spans="1:2" x14ac:dyDescent="0.35">
      <c r="A6" t="s">
        <v>5</v>
      </c>
      <c r="B6">
        <f>-150000</f>
        <v>-150000</v>
      </c>
    </row>
    <row r="8" spans="1:2" x14ac:dyDescent="0.35">
      <c r="A8" s="1" t="s">
        <v>6</v>
      </c>
    </row>
    <row r="9" spans="1:2" x14ac:dyDescent="0.35">
      <c r="A9" t="s">
        <v>7</v>
      </c>
      <c r="B9">
        <f>0</f>
        <v>0</v>
      </c>
    </row>
    <row r="10" spans="1:2" x14ac:dyDescent="0.35">
      <c r="A10" t="s">
        <v>8</v>
      </c>
      <c r="B10">
        <f>0</f>
        <v>0</v>
      </c>
    </row>
    <row r="11" spans="1:2" x14ac:dyDescent="0.35">
      <c r="A11" t="s">
        <v>9</v>
      </c>
      <c r="B11">
        <f>0</f>
        <v>0</v>
      </c>
    </row>
    <row r="13" spans="1:2" x14ac:dyDescent="0.35">
      <c r="A13" s="1" t="s">
        <v>10</v>
      </c>
    </row>
    <row r="14" spans="1:2" x14ac:dyDescent="0.35">
      <c r="A14" t="s">
        <v>11</v>
      </c>
    </row>
    <row r="15" spans="1:2" x14ac:dyDescent="0.35">
      <c r="A15" t="s">
        <v>12</v>
      </c>
      <c r="B15">
        <f>B5+B6</f>
        <v>850000</v>
      </c>
    </row>
    <row r="16" spans="1:2" x14ac:dyDescent="0.35">
      <c r="A16" t="s">
        <v>13</v>
      </c>
      <c r="B16">
        <f>0</f>
        <v>0</v>
      </c>
    </row>
    <row r="18" spans="1:2" x14ac:dyDescent="0.35">
      <c r="A18" t="s">
        <v>14</v>
      </c>
    </row>
    <row r="19" spans="1:2" x14ac:dyDescent="0.35">
      <c r="A19" t="s">
        <v>15</v>
      </c>
      <c r="B19">
        <f>B5+B6</f>
        <v>850000</v>
      </c>
    </row>
    <row r="20" spans="1:2" x14ac:dyDescent="0.35">
      <c r="A20" t="s">
        <v>16</v>
      </c>
      <c r="B20">
        <f>0</f>
        <v>0</v>
      </c>
    </row>
    <row r="22" spans="1:2" x14ac:dyDescent="0.35">
      <c r="A22" s="1" t="s">
        <v>17</v>
      </c>
    </row>
    <row r="23" spans="1:2" x14ac:dyDescent="0.35">
      <c r="A23" t="s">
        <v>18</v>
      </c>
      <c r="B23">
        <f>(B10*B15) +((1-B10) *B16) +B3</f>
        <v>-50000</v>
      </c>
    </row>
    <row r="24" spans="1:2" x14ac:dyDescent="0.35">
      <c r="A24" t="s">
        <v>19</v>
      </c>
      <c r="B24">
        <f>(B11*B19) + ((1-B11) * B20) +B4</f>
        <v>-40000</v>
      </c>
    </row>
    <row r="26" spans="1:2" x14ac:dyDescent="0.35">
      <c r="A26" t="s">
        <v>20</v>
      </c>
      <c r="B26">
        <f>B23</f>
        <v>-50000</v>
      </c>
    </row>
    <row r="27" spans="1:2" x14ac:dyDescent="0.35">
      <c r="A27" t="s">
        <v>21</v>
      </c>
      <c r="B27">
        <f>B24</f>
        <v>-40000</v>
      </c>
    </row>
    <row r="29" spans="1:2" x14ac:dyDescent="0.35">
      <c r="A29" t="s">
        <v>22</v>
      </c>
      <c r="B29">
        <f>(B9 *B26) + ((1-B9) * B27) +B2</f>
        <v>-240000</v>
      </c>
    </row>
    <row r="30" spans="1:2" x14ac:dyDescent="0.35">
      <c r="A30" t="s">
        <v>23</v>
      </c>
      <c r="B30">
        <f>0</f>
        <v>0</v>
      </c>
    </row>
    <row r="32" spans="1:2" x14ac:dyDescent="0.35">
      <c r="A32" t="s">
        <v>24</v>
      </c>
      <c r="B32" t="str">
        <f>IF(B29 &gt; B30, "Continue R&amp;D", "Do Not Continue R&amp;D")</f>
        <v>Do Not Continue R&amp;D</v>
      </c>
    </row>
    <row r="33" spans="1:2" x14ac:dyDescent="0.35">
      <c r="A33" t="s">
        <v>25</v>
      </c>
      <c r="B33">
        <f>MAX(B29, B30)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>
      <selection activeCell="B34" sqref="B34"/>
    </sheetView>
  </sheetViews>
  <sheetFormatPr defaultRowHeight="14.5" x14ac:dyDescent="0.35"/>
  <cols>
    <col min="1" max="1" width="34.1796875" bestFit="1" customWidth="1"/>
  </cols>
  <sheetData>
    <row r="1" spans="1:2" x14ac:dyDescent="0.35">
      <c r="A1" s="1" t="s">
        <v>0</v>
      </c>
    </row>
    <row r="2" spans="1:2" x14ac:dyDescent="0.35">
      <c r="A2" t="s">
        <v>1</v>
      </c>
      <c r="B2">
        <f>-200000</f>
        <v>-200000</v>
      </c>
    </row>
    <row r="3" spans="1:2" x14ac:dyDescent="0.35">
      <c r="A3" t="s">
        <v>2</v>
      </c>
      <c r="B3">
        <f>-50000</f>
        <v>-50000</v>
      </c>
    </row>
    <row r="4" spans="1:2" x14ac:dyDescent="0.35">
      <c r="A4" t="s">
        <v>3</v>
      </c>
      <c r="B4">
        <f>-40000</f>
        <v>-40000</v>
      </c>
    </row>
    <row r="5" spans="1:2" x14ac:dyDescent="0.35">
      <c r="A5" t="s">
        <v>4</v>
      </c>
      <c r="B5">
        <f>1000000</f>
        <v>1000000</v>
      </c>
    </row>
    <row r="6" spans="1:2" x14ac:dyDescent="0.35">
      <c r="A6" t="s">
        <v>5</v>
      </c>
      <c r="B6">
        <f>-150000</f>
        <v>-150000</v>
      </c>
    </row>
    <row r="8" spans="1:2" x14ac:dyDescent="0.35">
      <c r="A8" s="1" t="s">
        <v>6</v>
      </c>
    </row>
    <row r="9" spans="1:2" x14ac:dyDescent="0.35">
      <c r="A9" t="s">
        <v>7</v>
      </c>
      <c r="B9">
        <v>0.26495726495726496</v>
      </c>
    </row>
    <row r="10" spans="1:2" x14ac:dyDescent="0.35">
      <c r="A10" t="s">
        <v>8</v>
      </c>
      <c r="B10">
        <f>0.8</f>
        <v>0.8</v>
      </c>
    </row>
    <row r="11" spans="1:2" x14ac:dyDescent="0.35">
      <c r="A11" t="s">
        <v>9</v>
      </c>
      <c r="B11">
        <f>0.1</f>
        <v>0.1</v>
      </c>
    </row>
    <row r="13" spans="1:2" x14ac:dyDescent="0.35">
      <c r="A13" s="1" t="s">
        <v>10</v>
      </c>
    </row>
    <row r="14" spans="1:2" x14ac:dyDescent="0.35">
      <c r="A14" t="s">
        <v>11</v>
      </c>
    </row>
    <row r="15" spans="1:2" x14ac:dyDescent="0.35">
      <c r="A15" t="s">
        <v>12</v>
      </c>
      <c r="B15">
        <f>B5+B6</f>
        <v>850000</v>
      </c>
    </row>
    <row r="16" spans="1:2" x14ac:dyDescent="0.35">
      <c r="A16" t="s">
        <v>13</v>
      </c>
      <c r="B16">
        <f>0</f>
        <v>0</v>
      </c>
    </row>
    <row r="18" spans="1:2" x14ac:dyDescent="0.35">
      <c r="A18" t="s">
        <v>14</v>
      </c>
    </row>
    <row r="19" spans="1:2" x14ac:dyDescent="0.35">
      <c r="A19" t="s">
        <v>15</v>
      </c>
      <c r="B19">
        <f>B5+B6</f>
        <v>850000</v>
      </c>
    </row>
    <row r="20" spans="1:2" x14ac:dyDescent="0.35">
      <c r="A20" t="s">
        <v>16</v>
      </c>
      <c r="B20">
        <f>0</f>
        <v>0</v>
      </c>
    </row>
    <row r="22" spans="1:2" x14ac:dyDescent="0.35">
      <c r="A22" s="1" t="s">
        <v>17</v>
      </c>
    </row>
    <row r="23" spans="1:2" x14ac:dyDescent="0.35">
      <c r="A23" t="s">
        <v>18</v>
      </c>
      <c r="B23">
        <f>(B10*B15) +((1-B10) *B16) +B3</f>
        <v>630000</v>
      </c>
    </row>
    <row r="24" spans="1:2" x14ac:dyDescent="0.35">
      <c r="A24" t="s">
        <v>19</v>
      </c>
      <c r="B24">
        <f>(B11*B19) + ((1-B11) * B20) +B4</f>
        <v>45000</v>
      </c>
    </row>
    <row r="26" spans="1:2" x14ac:dyDescent="0.35">
      <c r="A26" t="s">
        <v>20</v>
      </c>
      <c r="B26">
        <f>B23</f>
        <v>630000</v>
      </c>
    </row>
    <row r="27" spans="1:2" x14ac:dyDescent="0.35">
      <c r="A27" t="s">
        <v>21</v>
      </c>
      <c r="B27">
        <f>B24</f>
        <v>45000</v>
      </c>
    </row>
    <row r="29" spans="1:2" x14ac:dyDescent="0.35">
      <c r="A29" t="s">
        <v>22</v>
      </c>
      <c r="B29">
        <f>(B9 *B26) + ((1-B9) * B27) +B2</f>
        <v>0</v>
      </c>
    </row>
    <row r="30" spans="1:2" x14ac:dyDescent="0.35">
      <c r="A30" t="s">
        <v>23</v>
      </c>
      <c r="B30">
        <f>0</f>
        <v>0</v>
      </c>
    </row>
    <row r="32" spans="1:2" x14ac:dyDescent="0.35">
      <c r="A32" t="s">
        <v>24</v>
      </c>
      <c r="B32" t="str">
        <f>IF(B29 &gt; B30, "Continue R&amp;D", "Do Not Continue R&amp;D")</f>
        <v>Do Not Continue R&amp;D</v>
      </c>
    </row>
    <row r="33" spans="1:2" x14ac:dyDescent="0.35">
      <c r="A33" t="s">
        <v>25</v>
      </c>
      <c r="B33">
        <f>MAX(B29,B30)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4"/>
  <sheetViews>
    <sheetView topLeftCell="A27" workbookViewId="0">
      <selection activeCell="A37" sqref="A37"/>
    </sheetView>
  </sheetViews>
  <sheetFormatPr defaultRowHeight="14.5" x14ac:dyDescent="0.35"/>
  <cols>
    <col min="1" max="1" width="34.1796875" bestFit="1" customWidth="1"/>
  </cols>
  <sheetData>
    <row r="1" spans="1:2" x14ac:dyDescent="0.35">
      <c r="A1" t="s">
        <v>26</v>
      </c>
    </row>
    <row r="2" spans="1:2" x14ac:dyDescent="0.35">
      <c r="A2" s="1" t="s">
        <v>0</v>
      </c>
    </row>
    <row r="3" spans="1:2" x14ac:dyDescent="0.35">
      <c r="A3" t="s">
        <v>1</v>
      </c>
      <c r="B3">
        <f>-200000</f>
        <v>-200000</v>
      </c>
    </row>
    <row r="4" spans="1:2" x14ac:dyDescent="0.35">
      <c r="A4" t="s">
        <v>2</v>
      </c>
      <c r="B4">
        <f>-50000</f>
        <v>-50000</v>
      </c>
    </row>
    <row r="5" spans="1:2" x14ac:dyDescent="0.35">
      <c r="A5" t="s">
        <v>3</v>
      </c>
      <c r="B5">
        <f>-40000</f>
        <v>-40000</v>
      </c>
    </row>
    <row r="6" spans="1:2" x14ac:dyDescent="0.35">
      <c r="A6" t="s">
        <v>4</v>
      </c>
      <c r="B6">
        <f>1000000</f>
        <v>1000000</v>
      </c>
    </row>
    <row r="7" spans="1:2" x14ac:dyDescent="0.35">
      <c r="A7" t="s">
        <v>5</v>
      </c>
      <c r="B7">
        <f>-150000</f>
        <v>-150000</v>
      </c>
    </row>
    <row r="9" spans="1:2" x14ac:dyDescent="0.35">
      <c r="A9" s="1" t="s">
        <v>6</v>
      </c>
    </row>
    <row r="10" spans="1:2" x14ac:dyDescent="0.35">
      <c r="A10" t="s">
        <v>7</v>
      </c>
      <c r="B10">
        <f>0.4</f>
        <v>0.4</v>
      </c>
    </row>
    <row r="11" spans="1:2" x14ac:dyDescent="0.35">
      <c r="A11" t="s">
        <v>8</v>
      </c>
      <c r="B11">
        <f>0.8</f>
        <v>0.8</v>
      </c>
    </row>
    <row r="12" spans="1:2" x14ac:dyDescent="0.35">
      <c r="A12" t="s">
        <v>9</v>
      </c>
      <c r="B12">
        <f>0.1</f>
        <v>0.1</v>
      </c>
    </row>
    <row r="14" spans="1:2" x14ac:dyDescent="0.35">
      <c r="A14" s="1" t="s">
        <v>10</v>
      </c>
    </row>
    <row r="15" spans="1:2" x14ac:dyDescent="0.35">
      <c r="A15" t="s">
        <v>11</v>
      </c>
    </row>
    <row r="16" spans="1:2" x14ac:dyDescent="0.35">
      <c r="A16" t="s">
        <v>12</v>
      </c>
      <c r="B16">
        <f>B6+B7</f>
        <v>850000</v>
      </c>
    </row>
    <row r="17" spans="1:2" x14ac:dyDescent="0.35">
      <c r="A17" t="s">
        <v>13</v>
      </c>
      <c r="B17">
        <f>0</f>
        <v>0</v>
      </c>
    </row>
    <row r="19" spans="1:2" x14ac:dyDescent="0.35">
      <c r="A19" t="s">
        <v>14</v>
      </c>
    </row>
    <row r="20" spans="1:2" x14ac:dyDescent="0.35">
      <c r="A20" t="s">
        <v>15</v>
      </c>
      <c r="B20">
        <f>B6+B7</f>
        <v>850000</v>
      </c>
    </row>
    <row r="21" spans="1:2" x14ac:dyDescent="0.35">
      <c r="A21" t="s">
        <v>16</v>
      </c>
      <c r="B21">
        <f>0</f>
        <v>0</v>
      </c>
    </row>
    <row r="23" spans="1:2" x14ac:dyDescent="0.35">
      <c r="A23" s="1" t="s">
        <v>17</v>
      </c>
    </row>
    <row r="24" spans="1:2" x14ac:dyDescent="0.35">
      <c r="A24" t="s">
        <v>18</v>
      </c>
      <c r="B24">
        <f>(B11*B16) +((1-B11) *B17) +B4</f>
        <v>630000</v>
      </c>
    </row>
    <row r="25" spans="1:2" x14ac:dyDescent="0.35">
      <c r="A25" t="s">
        <v>19</v>
      </c>
      <c r="B25">
        <f>(B12*B20) + ((1-B12) * B21) +B5</f>
        <v>45000</v>
      </c>
    </row>
    <row r="27" spans="1:2" x14ac:dyDescent="0.35">
      <c r="A27" t="s">
        <v>20</v>
      </c>
      <c r="B27">
        <f>B24</f>
        <v>630000</v>
      </c>
    </row>
    <row r="28" spans="1:2" x14ac:dyDescent="0.35">
      <c r="A28" t="s">
        <v>21</v>
      </c>
      <c r="B28">
        <f>B25</f>
        <v>45000</v>
      </c>
    </row>
    <row r="30" spans="1:2" x14ac:dyDescent="0.35">
      <c r="A30" t="s">
        <v>22</v>
      </c>
      <c r="B30">
        <f>(B10 *B27) + ((1-B10) * B28) +B3</f>
        <v>79000</v>
      </c>
    </row>
    <row r="31" spans="1:2" x14ac:dyDescent="0.35">
      <c r="A31" t="s">
        <v>23</v>
      </c>
      <c r="B31">
        <f>0</f>
        <v>0</v>
      </c>
    </row>
    <row r="33" spans="1:2" x14ac:dyDescent="0.35">
      <c r="A33" t="s">
        <v>24</v>
      </c>
      <c r="B33" t="str">
        <f>IF(B30 &gt; B31, "Continue R&amp;D", "Do Not Continue R&amp;D")</f>
        <v>Continue R&amp;D</v>
      </c>
    </row>
    <row r="34" spans="1:2" x14ac:dyDescent="0.35">
      <c r="A34" t="s">
        <v>25</v>
      </c>
      <c r="B34">
        <f>MAX(B30,B31)</f>
        <v>79000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7F05-AD04-492F-9AF5-0750B3691CEF}">
  <dimension ref="A1:B38"/>
  <sheetViews>
    <sheetView tabSelected="1" topLeftCell="A20" workbookViewId="0">
      <selection activeCell="B39" sqref="B39"/>
    </sheetView>
  </sheetViews>
  <sheetFormatPr defaultRowHeight="14.5" x14ac:dyDescent="0.35"/>
  <cols>
    <col min="1" max="1" width="34.1796875" bestFit="1" customWidth="1"/>
  </cols>
  <sheetData>
    <row r="1" spans="1:2" x14ac:dyDescent="0.35">
      <c r="A1" t="s">
        <v>27</v>
      </c>
    </row>
    <row r="2" spans="1:2" x14ac:dyDescent="0.35">
      <c r="A2" s="1" t="s">
        <v>0</v>
      </c>
    </row>
    <row r="3" spans="1:2" x14ac:dyDescent="0.35">
      <c r="A3" t="s">
        <v>1</v>
      </c>
      <c r="B3">
        <f>-200000</f>
        <v>-200000</v>
      </c>
    </row>
    <row r="4" spans="1:2" x14ac:dyDescent="0.35">
      <c r="A4" t="s">
        <v>2</v>
      </c>
      <c r="B4">
        <f>-50000</f>
        <v>-50000</v>
      </c>
    </row>
    <row r="5" spans="1:2" x14ac:dyDescent="0.35">
      <c r="A5" t="s">
        <v>3</v>
      </c>
      <c r="B5">
        <f>-40000</f>
        <v>-40000</v>
      </c>
    </row>
    <row r="6" spans="1:2" x14ac:dyDescent="0.35">
      <c r="A6" t="s">
        <v>4</v>
      </c>
      <c r="B6">
        <f>1000000</f>
        <v>1000000</v>
      </c>
    </row>
    <row r="7" spans="1:2" x14ac:dyDescent="0.35">
      <c r="A7" t="s">
        <v>5</v>
      </c>
      <c r="B7">
        <f>-150000</f>
        <v>-150000</v>
      </c>
    </row>
    <row r="9" spans="1:2" x14ac:dyDescent="0.35">
      <c r="A9" s="1" t="s">
        <v>6</v>
      </c>
    </row>
    <row r="10" spans="1:2" x14ac:dyDescent="0.35">
      <c r="A10" t="s">
        <v>7</v>
      </c>
      <c r="B10">
        <f>0.4</f>
        <v>0.4</v>
      </c>
    </row>
    <row r="11" spans="1:2" x14ac:dyDescent="0.35">
      <c r="A11" t="s">
        <v>8</v>
      </c>
      <c r="B11">
        <f>1</f>
        <v>1</v>
      </c>
    </row>
    <row r="12" spans="1:2" x14ac:dyDescent="0.35">
      <c r="A12" t="s">
        <v>9</v>
      </c>
      <c r="B12">
        <f>0.1</f>
        <v>0.1</v>
      </c>
    </row>
    <row r="14" spans="1:2" x14ac:dyDescent="0.35">
      <c r="A14" s="1" t="s">
        <v>10</v>
      </c>
    </row>
    <row r="15" spans="1:2" x14ac:dyDescent="0.35">
      <c r="A15" t="s">
        <v>11</v>
      </c>
    </row>
    <row r="16" spans="1:2" x14ac:dyDescent="0.35">
      <c r="A16" t="s">
        <v>12</v>
      </c>
      <c r="B16">
        <f>B6+B7</f>
        <v>850000</v>
      </c>
    </row>
    <row r="17" spans="1:2" x14ac:dyDescent="0.35">
      <c r="A17" t="s">
        <v>13</v>
      </c>
      <c r="B17">
        <f>0</f>
        <v>0</v>
      </c>
    </row>
    <row r="19" spans="1:2" x14ac:dyDescent="0.35">
      <c r="A19" t="s">
        <v>14</v>
      </c>
    </row>
    <row r="20" spans="1:2" x14ac:dyDescent="0.35">
      <c r="A20" t="s">
        <v>15</v>
      </c>
      <c r="B20">
        <f>B6+B7</f>
        <v>850000</v>
      </c>
    </row>
    <row r="21" spans="1:2" x14ac:dyDescent="0.35">
      <c r="A21" t="s">
        <v>16</v>
      </c>
      <c r="B21">
        <f>0</f>
        <v>0</v>
      </c>
    </row>
    <row r="23" spans="1:2" x14ac:dyDescent="0.35">
      <c r="A23" s="1" t="s">
        <v>17</v>
      </c>
    </row>
    <row r="24" spans="1:2" x14ac:dyDescent="0.35">
      <c r="A24" t="s">
        <v>18</v>
      </c>
      <c r="B24">
        <f>(B11*B16) +((1-B11) *B17) +B4</f>
        <v>800000</v>
      </c>
    </row>
    <row r="25" spans="1:2" x14ac:dyDescent="0.35">
      <c r="A25" t="s">
        <v>19</v>
      </c>
      <c r="B25">
        <f>(B12*B20) + ((1-B12) * B21) +B5</f>
        <v>45000</v>
      </c>
    </row>
    <row r="27" spans="1:2" x14ac:dyDescent="0.35">
      <c r="A27" t="s">
        <v>20</v>
      </c>
      <c r="B27">
        <f>B24</f>
        <v>800000</v>
      </c>
    </row>
    <row r="28" spans="1:2" x14ac:dyDescent="0.35">
      <c r="A28" t="s">
        <v>21</v>
      </c>
      <c r="B28">
        <f>B25</f>
        <v>45000</v>
      </c>
    </row>
    <row r="30" spans="1:2" x14ac:dyDescent="0.35">
      <c r="A30" t="s">
        <v>22</v>
      </c>
      <c r="B30">
        <f>(B10 *B27) + ((1-B10) * B28) +B3</f>
        <v>147000</v>
      </c>
    </row>
    <row r="31" spans="1:2" x14ac:dyDescent="0.35">
      <c r="A31" t="s">
        <v>23</v>
      </c>
      <c r="B31">
        <f>0</f>
        <v>0</v>
      </c>
    </row>
    <row r="33" spans="1:2" x14ac:dyDescent="0.35">
      <c r="A33" t="s">
        <v>24</v>
      </c>
      <c r="B33" t="str">
        <f>IF(B30 &gt; B31, "Continue R&amp;D", "Do Not Continue R&amp;D")</f>
        <v>Continue R&amp;D</v>
      </c>
    </row>
    <row r="34" spans="1:2" x14ac:dyDescent="0.35">
      <c r="A34" t="s">
        <v>25</v>
      </c>
      <c r="B34">
        <f>MAX(B30,B31)</f>
        <v>147000</v>
      </c>
    </row>
    <row r="36" spans="1:2" x14ac:dyDescent="0.35">
      <c r="A36" t="s">
        <v>28</v>
      </c>
    </row>
    <row r="38" spans="1:2" x14ac:dyDescent="0.35">
      <c r="A38" t="s">
        <v>29</v>
      </c>
      <c r="B38">
        <f>B34-Perfect_Information_1!B34</f>
        <v>68000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&amp; Decision Tree</vt:lpstr>
      <vt:lpstr>Indiference_Analysis</vt:lpstr>
      <vt:lpstr>Perfect_Information_1</vt:lpstr>
      <vt:lpstr>Perfect_Information_2)</vt:lpstr>
      <vt:lpstr>Strategy_Summary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Oluwateniola Oyinkansola Obiwole</cp:lastModifiedBy>
  <dcterms:created xsi:type="dcterms:W3CDTF">2025-06-09T17:16:38Z</dcterms:created>
  <dcterms:modified xsi:type="dcterms:W3CDTF">2025-07-01T10:40:55Z</dcterms:modified>
</cp:coreProperties>
</file>