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2012864\Downloads\"/>
    </mc:Choice>
  </mc:AlternateContent>
  <xr:revisionPtr revIDLastSave="0" documentId="13_ncr:1_{0279EC70-D3D5-4C87-845E-81B0CCF1F242}" xr6:coauthVersionLast="47" xr6:coauthVersionMax="47" xr10:uidLastSave="{00000000-0000-0000-0000-000000000000}"/>
  <bookViews>
    <workbookView xWindow="-120" yWindow="-120" windowWidth="29040" windowHeight="15720" xr2:uid="{A4D83F22-151D-4440-A40F-43DDE16CA3A6}"/>
  </bookViews>
  <sheets>
    <sheet name="Scenario C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" l="1"/>
  <c r="D20" i="3"/>
  <c r="C20" i="3"/>
  <c r="E9" i="3"/>
  <c r="E16" i="3"/>
  <c r="C18" i="3" s="1"/>
  <c r="D15" i="3"/>
  <c r="C17" i="3" s="1"/>
  <c r="C21" i="3" s="1"/>
  <c r="C22" i="3" s="1"/>
  <c r="C14" i="3"/>
  <c r="D17" i="3" s="1"/>
  <c r="D19" i="3"/>
  <c r="E18" i="3"/>
  <c r="E19" i="3"/>
  <c r="D21" i="3" l="1"/>
  <c r="D22" i="3" s="1"/>
  <c r="E21" i="3"/>
  <c r="E22" i="3" s="1"/>
  <c r="F22" i="3" l="1"/>
</calcChain>
</file>

<file path=xl/sharedStrings.xml><?xml version="1.0" encoding="utf-8"?>
<sst xmlns="http://schemas.openxmlformats.org/spreadsheetml/2006/main" count="24" uniqueCount="16">
  <si>
    <t>custId</t>
  </si>
  <si>
    <t>5% discount</t>
  </si>
  <si>
    <t>free delivery</t>
  </si>
  <si>
    <t>Net order value(£)</t>
  </si>
  <si>
    <t>free gift</t>
  </si>
  <si>
    <t>Teams</t>
  </si>
  <si>
    <t>Team Value</t>
  </si>
  <si>
    <t>marginal contributions</t>
  </si>
  <si>
    <t>fd</t>
  </si>
  <si>
    <t>fg</t>
  </si>
  <si>
    <t>fd,fg</t>
  </si>
  <si>
    <t>V</t>
  </si>
  <si>
    <t>P</t>
  </si>
  <si>
    <t>5%,fd</t>
  </si>
  <si>
    <t>5%,fg</t>
  </si>
  <si>
    <t>5%,fg,fd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</si>
</sst>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/>
    <xf numFmtId="9" fontId="0" fillId="0" borderId="1" xfId="1" applyFont="1" applyBorder="1"/>
    <xf numFmtId="9" fontId="0" fillId="0" borderId="1" xfId="0" applyNumberFormat="1" applyBorder="1"/>
    <xf numFmtId="9" fontId="0" fillId="0" borderId="0" xfId="0" applyNumberFormat="1"/>
    <xf numFmtId="0" fontId="2" fillId="0" borderId="1" xfId="0" applyFont="1" applyFill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Marginal</a:t>
            </a:r>
            <a:r>
              <a:rPr lang="en-GB" baseline="0"/>
              <a:t> Contributions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23309130913091308"/>
          <c:w val="0.94337194337194341"/>
          <c:h val="0.7669086908690868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D96-411B-81D9-A814C7EC53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D96-411B-81D9-A814C7EC53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D96-411B-81D9-A814C7EC537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'Scenario C'!$C$22:$E$22</c:f>
              <c:numCache>
                <c:formatCode>0%</c:formatCode>
                <c:ptCount val="3"/>
                <c:pt idx="0">
                  <c:v>0.20138888888888887</c:v>
                </c:pt>
                <c:pt idx="1">
                  <c:v>0.43055555555555552</c:v>
                </c:pt>
                <c:pt idx="2">
                  <c:v>0.36805555555555552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0-4EEE-AEEA-8810DE248A4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12</xdr:row>
      <xdr:rowOff>66675</xdr:rowOff>
    </xdr:from>
    <xdr:to>
      <xdr:col>13</xdr:col>
      <xdr:colOff>133350</xdr:colOff>
      <xdr:row>27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722934-45D8-743F-D2D1-64266183D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6EA5-56E3-4321-9768-4B061AC2AD1F}">
  <dimension ref="A1:L22"/>
  <sheetViews>
    <sheetView tabSelected="1" workbookViewId="0">
      <selection activeCell="R19" sqref="R19"/>
    </sheetView>
  </sheetViews>
  <sheetFormatPr defaultRowHeight="15" x14ac:dyDescent="0.25"/>
  <cols>
    <col min="2" max="2" width="10.85546875" bestFit="1" customWidth="1"/>
    <col min="3" max="3" width="10.5703125" bestFit="1" customWidth="1"/>
    <col min="4" max="4" width="10.5703125" customWidth="1"/>
    <col min="5" max="5" width="17.140625" bestFit="1" customWidth="1"/>
    <col min="9" max="9" width="11.85546875" bestFit="1" customWidth="1"/>
    <col min="10" max="10" width="12.42578125" bestFit="1" customWidth="1"/>
    <col min="11" max="11" width="8.140625" bestFit="1" customWidth="1"/>
    <col min="12" max="12" width="17.57031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H1" s="2" t="s">
        <v>0</v>
      </c>
      <c r="I1" s="2" t="s">
        <v>1</v>
      </c>
      <c r="J1" s="2" t="s">
        <v>2</v>
      </c>
      <c r="K1" s="2" t="s">
        <v>4</v>
      </c>
      <c r="L1" s="2" t="s">
        <v>3</v>
      </c>
    </row>
    <row r="2" spans="1:12" x14ac:dyDescent="0.25">
      <c r="A2" s="2">
        <v>1</v>
      </c>
      <c r="B2" s="2"/>
      <c r="C2" s="2">
        <v>1</v>
      </c>
      <c r="D2" s="2"/>
      <c r="E2" s="2">
        <v>30</v>
      </c>
      <c r="H2" s="2">
        <v>1</v>
      </c>
      <c r="I2" s="1"/>
      <c r="J2" s="1">
        <v>1</v>
      </c>
      <c r="K2" s="1"/>
      <c r="L2" s="1">
        <v>30</v>
      </c>
    </row>
    <row r="3" spans="1:12" x14ac:dyDescent="0.25">
      <c r="A3" s="2">
        <v>2</v>
      </c>
      <c r="B3" s="2">
        <v>1</v>
      </c>
      <c r="C3" s="2"/>
      <c r="D3" s="2"/>
      <c r="E3" s="2">
        <v>20</v>
      </c>
      <c r="H3" s="2">
        <v>2</v>
      </c>
      <c r="I3" s="6">
        <v>1</v>
      </c>
      <c r="J3" s="1"/>
      <c r="K3" s="1"/>
      <c r="L3" s="1">
        <v>20</v>
      </c>
    </row>
    <row r="4" spans="1:12" x14ac:dyDescent="0.25">
      <c r="A4" s="2">
        <v>3</v>
      </c>
      <c r="B4" s="2"/>
      <c r="C4" s="2"/>
      <c r="D4" s="2">
        <v>1</v>
      </c>
      <c r="E4" s="2">
        <v>24</v>
      </c>
      <c r="H4" s="2">
        <v>3</v>
      </c>
      <c r="I4" s="1"/>
      <c r="J4" s="1"/>
      <c r="K4" s="1">
        <v>1</v>
      </c>
      <c r="L4" s="1">
        <v>24</v>
      </c>
    </row>
    <row r="5" spans="1:12" x14ac:dyDescent="0.25">
      <c r="A5" s="2">
        <v>4</v>
      </c>
      <c r="B5" s="2">
        <v>2</v>
      </c>
      <c r="C5" s="2">
        <v>1</v>
      </c>
      <c r="D5" s="2"/>
      <c r="E5" s="2">
        <v>30</v>
      </c>
      <c r="H5" s="2">
        <v>4</v>
      </c>
      <c r="I5" s="6">
        <v>2</v>
      </c>
      <c r="J5" s="1"/>
      <c r="K5" s="1"/>
      <c r="L5" s="1">
        <v>30</v>
      </c>
    </row>
    <row r="6" spans="1:12" x14ac:dyDescent="0.25">
      <c r="A6" s="2">
        <v>5</v>
      </c>
      <c r="B6" s="2">
        <v>2</v>
      </c>
      <c r="C6" s="2"/>
      <c r="D6" s="2">
        <v>1</v>
      </c>
      <c r="E6" s="2">
        <v>30</v>
      </c>
      <c r="H6" s="2">
        <v>5</v>
      </c>
      <c r="I6" s="6">
        <v>2</v>
      </c>
      <c r="J6" s="1"/>
      <c r="K6" s="1"/>
      <c r="L6" s="1">
        <v>30</v>
      </c>
    </row>
    <row r="7" spans="1:12" x14ac:dyDescent="0.25">
      <c r="A7" s="2">
        <v>6</v>
      </c>
      <c r="B7" s="2">
        <v>1</v>
      </c>
      <c r="C7" s="2">
        <v>3</v>
      </c>
      <c r="D7" s="2">
        <v>2</v>
      </c>
      <c r="E7" s="2">
        <v>48</v>
      </c>
      <c r="H7" s="2">
        <v>6</v>
      </c>
      <c r="I7" s="1"/>
      <c r="J7" s="1">
        <v>3</v>
      </c>
      <c r="K7" s="1"/>
      <c r="L7" s="1">
        <v>48</v>
      </c>
    </row>
    <row r="8" spans="1:12" x14ac:dyDescent="0.25">
      <c r="A8" s="2">
        <v>7</v>
      </c>
      <c r="B8" s="2"/>
      <c r="C8" s="2">
        <v>1</v>
      </c>
      <c r="D8" s="2">
        <v>2</v>
      </c>
      <c r="E8" s="2">
        <v>42</v>
      </c>
      <c r="H8" s="2">
        <v>7</v>
      </c>
      <c r="I8" s="1"/>
      <c r="J8" s="1"/>
      <c r="K8" s="1"/>
      <c r="L8" s="1">
        <v>42</v>
      </c>
    </row>
    <row r="9" spans="1:12" x14ac:dyDescent="0.25">
      <c r="E9">
        <f>SUM(E2:E8)</f>
        <v>224</v>
      </c>
      <c r="L9">
        <v>224</v>
      </c>
    </row>
    <row r="12" spans="1:12" x14ac:dyDescent="0.25">
      <c r="C12" s="1" t="s">
        <v>7</v>
      </c>
      <c r="D12" s="1"/>
    </row>
    <row r="13" spans="1:12" x14ac:dyDescent="0.25">
      <c r="A13" s="1" t="s">
        <v>5</v>
      </c>
      <c r="B13" s="1" t="s">
        <v>6</v>
      </c>
      <c r="C13" s="1" t="s">
        <v>1</v>
      </c>
      <c r="D13" s="1" t="s">
        <v>2</v>
      </c>
      <c r="E13" s="1" t="s">
        <v>4</v>
      </c>
    </row>
    <row r="14" spans="1:12" x14ac:dyDescent="0.25">
      <c r="A14" s="4">
        <v>0.05</v>
      </c>
      <c r="B14" s="1">
        <v>20</v>
      </c>
      <c r="C14" s="1">
        <f>B14</f>
        <v>20</v>
      </c>
      <c r="D14" s="1"/>
      <c r="E14" s="1"/>
    </row>
    <row r="15" spans="1:12" x14ac:dyDescent="0.25">
      <c r="A15" s="1" t="s">
        <v>8</v>
      </c>
      <c r="B15" s="1">
        <v>30</v>
      </c>
      <c r="C15" s="1"/>
      <c r="D15" s="1">
        <f>B15</f>
        <v>30</v>
      </c>
      <c r="E15" s="1"/>
    </row>
    <row r="16" spans="1:12" x14ac:dyDescent="0.25">
      <c r="A16" s="1" t="s">
        <v>9</v>
      </c>
      <c r="B16" s="1">
        <v>24</v>
      </c>
      <c r="C16" s="1"/>
      <c r="D16" s="1"/>
      <c r="E16" s="1">
        <f>B16</f>
        <v>24</v>
      </c>
    </row>
    <row r="17" spans="1:6" x14ac:dyDescent="0.25">
      <c r="A17" s="1" t="s">
        <v>13</v>
      </c>
      <c r="B17" s="1">
        <v>30</v>
      </c>
      <c r="C17" s="1">
        <f>B17-D15</f>
        <v>0</v>
      </c>
      <c r="D17" s="1">
        <f>B17-C14</f>
        <v>10</v>
      </c>
      <c r="E17" s="1"/>
    </row>
    <row r="18" spans="1:6" x14ac:dyDescent="0.25">
      <c r="A18" s="1" t="s">
        <v>14</v>
      </c>
      <c r="B18" s="1">
        <v>30</v>
      </c>
      <c r="C18" s="1">
        <f>B18-E16</f>
        <v>6</v>
      </c>
      <c r="D18" s="1"/>
      <c r="E18" s="1">
        <f>B18-C14</f>
        <v>10</v>
      </c>
    </row>
    <row r="19" spans="1:6" x14ac:dyDescent="0.25">
      <c r="A19" s="1" t="s">
        <v>10</v>
      </c>
      <c r="B19" s="1">
        <v>42</v>
      </c>
      <c r="C19" s="1"/>
      <c r="D19" s="1">
        <f>B19-E16</f>
        <v>18</v>
      </c>
      <c r="E19" s="1">
        <f>B19-D15</f>
        <v>12</v>
      </c>
    </row>
    <row r="20" spans="1:6" x14ac:dyDescent="0.25">
      <c r="A20" s="1" t="s">
        <v>15</v>
      </c>
      <c r="B20" s="1">
        <v>48</v>
      </c>
      <c r="C20" s="1">
        <f>B20-B19</f>
        <v>6</v>
      </c>
      <c r="D20" s="1">
        <f>B20-B18</f>
        <v>18</v>
      </c>
      <c r="E20" s="1">
        <f>B20-B17</f>
        <v>18</v>
      </c>
    </row>
    <row r="21" spans="1:6" x14ac:dyDescent="0.25">
      <c r="A21" s="1"/>
      <c r="B21" s="1" t="s">
        <v>11</v>
      </c>
      <c r="C21" s="1">
        <f>1/3*(C14+(AVERAGE(C17,C18))+C20)</f>
        <v>9.6666666666666661</v>
      </c>
      <c r="D21" s="1">
        <f>1/3*(D15+ (AVERAGE(D17,D19))+D20)</f>
        <v>20.666666666666664</v>
      </c>
      <c r="E21" s="1">
        <f>1/3*(E16+(AVERAGE(E18,E19))+E20)</f>
        <v>17.666666666666664</v>
      </c>
    </row>
    <row r="22" spans="1:6" x14ac:dyDescent="0.25">
      <c r="A22" s="1"/>
      <c r="B22" s="1" t="s">
        <v>12</v>
      </c>
      <c r="C22" s="3">
        <f>C21/B20</f>
        <v>0.20138888888888887</v>
      </c>
      <c r="D22" s="3">
        <f>D21/B20</f>
        <v>0.43055555555555552</v>
      </c>
      <c r="E22" s="3">
        <f>E21/B20</f>
        <v>0.36805555555555552</v>
      </c>
      <c r="F22" s="5">
        <f>SUM(C22:E22)</f>
        <v>1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2E1A501BF2E54E9E09F9FB15D938FD" ma:contentTypeVersion="11" ma:contentTypeDescription="Create a new document." ma:contentTypeScope="" ma:versionID="b4cd8c4b19766fb1c789b635a40e03ad">
  <xsd:schema xmlns:xsd="http://www.w3.org/2001/XMLSchema" xmlns:xs="http://www.w3.org/2001/XMLSchema" xmlns:p="http://schemas.microsoft.com/office/2006/metadata/properties" xmlns:ns3="edff30e4-b7de-4ca2-bcdc-bc62190464f7" targetNamespace="http://schemas.microsoft.com/office/2006/metadata/properties" ma:root="true" ma:fieldsID="74b130bdbf06ba2b9bf3abc2e53f7fb7" ns3:_="">
    <xsd:import namespace="edff30e4-b7de-4ca2-bcdc-bc62190464f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f30e4-b7de-4ca2-bcdc-bc62190464f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dff30e4-b7de-4ca2-bcdc-bc62190464f7" xsi:nil="true"/>
  </documentManagement>
</p:properties>
</file>

<file path=customXml/itemProps1.xml><?xml version="1.0" encoding="utf-8"?>
<ds:datastoreItem xmlns:ds="http://schemas.openxmlformats.org/officeDocument/2006/customXml" ds:itemID="{5DB1B91C-95FC-41C8-9C42-5BCE82CCD1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13033C-6D44-4AAC-9A87-55C42C0F7C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f30e4-b7de-4ca2-bcdc-bc62190464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28BDD8-7BAA-4B24-BBBD-4073ED789925}">
  <ds:schemaRefs>
    <ds:schemaRef ds:uri="http://purl.org/dc/elements/1.1/"/>
    <ds:schemaRef ds:uri="http://purl.org/dc/terms/"/>
    <ds:schemaRef ds:uri="edff30e4-b7de-4ca2-bcdc-bc62190464f7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Oluwateniola Oyinkansola Obiwole</dc:creator>
  <cp:lastModifiedBy>Oluwateniola Oyinkansola Obiwole</cp:lastModifiedBy>
  <dcterms:created xsi:type="dcterms:W3CDTF">2025-06-27T09:54:01Z</dcterms:created>
  <dcterms:modified xsi:type="dcterms:W3CDTF">2025-09-30T15:10:44Z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0x010100242E1A501BF2E54E9E09F9FB15D938FD</vt:lpwstr>
  </property>
</Properties>
</file>